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6298a717d927439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DOSSA02\Downloads\"/>
    </mc:Choice>
  </mc:AlternateContent>
  <xr:revisionPtr revIDLastSave="0" documentId="13_ncr:1_{83779E36-F36A-4137-AC49-4CB9BE9BE5C6}" xr6:coauthVersionLast="36" xr6:coauthVersionMax="47" xr10:uidLastSave="{00000000-0000-0000-0000-000000000000}"/>
  <bookViews>
    <workbookView xWindow="0" yWindow="0" windowWidth="20490" windowHeight="7125" tabRatio="601" xr2:uid="{00000000-000D-0000-FFFF-FFFF00000000}"/>
  </bookViews>
  <sheets>
    <sheet name="Prisma" sheetId="2" r:id="rId1"/>
    <sheet name="LISTAGEM" sheetId="13" state="hidden" r:id="rId2"/>
  </sheets>
  <externalReferences>
    <externalReference r:id="rId3"/>
  </externalReferences>
  <definedNames>
    <definedName name="_xlnm._FilterDatabase" localSheetId="0" hidden="1">Prisma!$A$1:$T$1</definedName>
    <definedName name="_xlnm.Print_Area" localSheetId="0">Prisma!$A$1:$C$3</definedName>
    <definedName name="FOLHAS">OFFSET(#REF!,0,0,#REF!)</definedName>
    <definedName name="ListDataPrev">LISTAGEM!$I$2</definedName>
    <definedName name="ListOfic">LISTAGEM!$I$4</definedName>
    <definedName name="ListRE">'[1]HORA EXTRA OBR'!#REF!</definedName>
    <definedName name="ListTotalOS">LISTAGEM!$J$6</definedName>
    <definedName name="OS">OFFSET(#REF!,0,0,#REF!)</definedName>
    <definedName name="ThisWorkbook">MID(CELL("filename",Prisma!#REF!),FIND("[",CELL("filename",Prisma!#REF!))+1,FIND("]",CELL("filename",Prisma!#REF!))-FIND("[",CELL("filename",Prisma!#REF!))-1)</definedName>
    <definedName name="TipoHE">OR(TEXT(0.6, "###%"),TEXT(1, "###%"))</definedName>
    <definedName name="_xlnm.Print_Titles" localSheetId="1">LISTAGEM!$2:$6</definedName>
    <definedName name="UltAtua">45469.8619444444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13" l="1"/>
  <c r="Q2" i="13" l="1"/>
  <c r="R2" i="13" s="1"/>
</calcChain>
</file>

<file path=xl/sharedStrings.xml><?xml version="1.0" encoding="utf-8"?>
<sst xmlns="http://schemas.openxmlformats.org/spreadsheetml/2006/main" count="10413" uniqueCount="2104">
  <si>
    <t>Número OS</t>
  </si>
  <si>
    <t>OS Cliente</t>
  </si>
  <si>
    <t>Denominação OS</t>
  </si>
  <si>
    <t>Descrição OS</t>
  </si>
  <si>
    <t>Ativo</t>
  </si>
  <si>
    <t>Denominação Ativo</t>
  </si>
  <si>
    <t>Denominação Unidade Negócio</t>
  </si>
  <si>
    <t>Estado OS</t>
  </si>
  <si>
    <t>Denominação Estado OS</t>
  </si>
  <si>
    <t>Solicitante</t>
  </si>
  <si>
    <t>Denominação do Solicitante</t>
  </si>
  <si>
    <t>Tipo Solic. de Serviço</t>
  </si>
  <si>
    <t>Denominação Tipo de Solicitação Serviço</t>
  </si>
  <si>
    <t>Oficina</t>
  </si>
  <si>
    <t>Denominação Oficina</t>
  </si>
  <si>
    <t>Data Prevista</t>
  </si>
  <si>
    <t>Data/Hora Fechamento</t>
  </si>
  <si>
    <t>Prioridade</t>
  </si>
  <si>
    <t>Data/Hora Solicitação</t>
  </si>
  <si>
    <t>Observações do Serviço</t>
  </si>
  <si>
    <t>Data de Prioridade</t>
  </si>
  <si>
    <t>Dias p/ Vencimento</t>
  </si>
  <si>
    <t>58</t>
  </si>
  <si>
    <t>MEDICAL</t>
  </si>
  <si>
    <t>PROG. PARADA</t>
  </si>
  <si>
    <t>FSILVA65</t>
  </si>
  <si>
    <t>FERNANDO BRUNO SILVA</t>
  </si>
  <si>
    <t>PRJ</t>
  </si>
  <si>
    <t>PROJETO</t>
  </si>
  <si>
    <t>PT</t>
  </si>
  <si>
    <t>PINTURA</t>
  </si>
  <si>
    <t>2</t>
  </si>
  <si>
    <t>1000000514-625133001-0000</t>
  </si>
  <si>
    <t>CONSUMER</t>
  </si>
  <si>
    <t>20</t>
  </si>
  <si>
    <t>PLANEJADA</t>
  </si>
  <si>
    <t>OBR</t>
  </si>
  <si>
    <t>OBRAS</t>
  </si>
  <si>
    <t>SR</t>
  </si>
  <si>
    <t>SERRALHERIA</t>
  </si>
  <si>
    <t>3</t>
  </si>
  <si>
    <t>0000008011-000000000-7680</t>
  </si>
  <si>
    <t>FABRICA IV</t>
  </si>
  <si>
    <t>FABRICA DE MATERIA PRIMA DE AGULHAS (WIRE MILLS)</t>
  </si>
  <si>
    <t>25</t>
  </si>
  <si>
    <t>REPROGRAMAR</t>
  </si>
  <si>
    <t>1000011658-625133001-0000</t>
  </si>
  <si>
    <t>1</t>
  </si>
  <si>
    <t>JANSSEN</t>
  </si>
  <si>
    <t>77</t>
  </si>
  <si>
    <t>EXECUTADA</t>
  </si>
  <si>
    <t>MR</t>
  </si>
  <si>
    <t>MARCENARIA</t>
  </si>
  <si>
    <t>55</t>
  </si>
  <si>
    <t>EM EXECUÇÃO</t>
  </si>
  <si>
    <t>057-027-008</t>
  </si>
  <si>
    <t>Sala de Motobomba Sistema de Incêndio</t>
  </si>
  <si>
    <t>EL</t>
  </si>
  <si>
    <t>ELÉTRICA</t>
  </si>
  <si>
    <t>0000008444-000000000-7680</t>
  </si>
  <si>
    <t>057-020-005</t>
  </si>
  <si>
    <t>CENTRAL DE UTILIDADES</t>
  </si>
  <si>
    <t>0000008244-000000000-7680</t>
  </si>
  <si>
    <t>057-020</t>
  </si>
  <si>
    <t>ESTRUTURA PREDIAL UTILIDADES</t>
  </si>
  <si>
    <t>0000008257-000000000-7680</t>
  </si>
  <si>
    <t>JSILVA49</t>
  </si>
  <si>
    <t>JUAREZ SILVA</t>
  </si>
  <si>
    <t>0000008322-000000000-7680</t>
  </si>
  <si>
    <t>057-007</t>
  </si>
  <si>
    <t>ESTRUTURA PREDIAL SANPRO</t>
  </si>
  <si>
    <t>RSOUZA27</t>
  </si>
  <si>
    <t xml:space="preserve">RAMERSON SOUZA </t>
  </si>
  <si>
    <t>5</t>
  </si>
  <si>
    <t>PLIMA13</t>
  </si>
  <si>
    <t>PAULO HENRIQUE LIMA</t>
  </si>
  <si>
    <t>HD</t>
  </si>
  <si>
    <t>HIDRÁULICA</t>
  </si>
  <si>
    <t>SSI</t>
  </si>
  <si>
    <t>SALA SILICONIZACAO</t>
  </si>
  <si>
    <t>1000000546-625133001-0000</t>
  </si>
  <si>
    <t>40</t>
  </si>
  <si>
    <t>IMPEDIMENTO - MATERIAL</t>
  </si>
  <si>
    <t>CV</t>
  </si>
  <si>
    <t>CIVIL</t>
  </si>
  <si>
    <t>1000000547-625133001-0000</t>
  </si>
  <si>
    <t>FABRICA II</t>
  </si>
  <si>
    <t xml:space="preserve"> ACABAMENTO DE SUTURAS</t>
  </si>
  <si>
    <t>DFIUZA</t>
  </si>
  <si>
    <t>Fiuza, Dennis guerra [CONBR Non-J&amp;J]</t>
  </si>
  <si>
    <t>SG</t>
  </si>
  <si>
    <t>SERVIÇOS GERAIS</t>
  </si>
  <si>
    <t>ETO</t>
  </si>
  <si>
    <t>ESTERILIZAÇÃO POR ÓXIDO ETILENO</t>
  </si>
  <si>
    <t>MDEMOUR1</t>
  </si>
  <si>
    <t>Marcos Vinicius De Moura</t>
  </si>
  <si>
    <t>1000000548-625133001-0000</t>
  </si>
  <si>
    <t>EAAS</t>
  </si>
  <si>
    <t>ACABAMENTO DE SUTURAS</t>
  </si>
  <si>
    <t>1000000534-625133001-0000</t>
  </si>
  <si>
    <t>0000008048-000000000-7680</t>
  </si>
  <si>
    <t>FABRICAIII</t>
  </si>
  <si>
    <t xml:space="preserve"> AGULHAS</t>
  </si>
  <si>
    <t>6499006</t>
  </si>
  <si>
    <t>INSTALAR 2 LUMINARIAS NO FUNDO DA AREA (ENDIREITADOR DE ARAMES)</t>
  </si>
  <si>
    <t>EFWR</t>
  </si>
  <si>
    <t>WET ROOM</t>
  </si>
  <si>
    <t>GNEVES2</t>
  </si>
  <si>
    <t>GILBERTO NEVES</t>
  </si>
  <si>
    <t>1000000544-625133001-0000</t>
  </si>
  <si>
    <t>057-024</t>
  </si>
  <si>
    <t>ESTRUTURA PREDIAL RESTAURANTE</t>
  </si>
  <si>
    <t>057-006-002</t>
  </si>
  <si>
    <t>ÁREA FABRIL DE TOUCADOR</t>
  </si>
  <si>
    <t>MPALMA</t>
  </si>
  <si>
    <t>75589031 - MICHAEL LEONARDO RIBEIRO DE PALMA</t>
  </si>
  <si>
    <t>1000000511-625133001-0000</t>
  </si>
  <si>
    <t>EFPF</t>
  </si>
  <si>
    <t>POLIMENTO DE FIOS</t>
  </si>
  <si>
    <t>MSILV13</t>
  </si>
  <si>
    <t>MARCIO J. AZEVEDO SILVA</t>
  </si>
  <si>
    <t>MCAETANO</t>
  </si>
  <si>
    <t>MARIO LAURO CAETANO JUNIOR</t>
  </si>
  <si>
    <t>6573630</t>
  </si>
  <si>
    <t>(PRJ)_FALTA ILUMINAÇÃO NA ÁREA EXTERNA (CESTA DE HÉLIO)/INSTALAR REFLETORES LED</t>
  </si>
  <si>
    <t>0000008205-000000000-7680</t>
  </si>
  <si>
    <t>MCASTILH</t>
  </si>
  <si>
    <t>MARIANA MENOSSI CASTILHO</t>
  </si>
  <si>
    <t>GSILVA56</t>
  </si>
  <si>
    <t>GABRIELA CRISTINA SILVA</t>
  </si>
  <si>
    <t>R07</t>
  </si>
  <si>
    <t>Depósito Químico 2 - MAM MedTech</t>
  </si>
  <si>
    <t>0000008242-000000000-7680</t>
  </si>
  <si>
    <t>ESFTSO</t>
  </si>
  <si>
    <t>FIOS TEXTEIS - SALA OSSO</t>
  </si>
  <si>
    <t>1000000545-625133001-0000</t>
  </si>
  <si>
    <t>EFPM</t>
  </si>
  <si>
    <t>PROLENE MESH</t>
  </si>
  <si>
    <t>VSA1</t>
  </si>
  <si>
    <t>VANESSA CHRISTINE DOS SANTOS</t>
  </si>
  <si>
    <t>1000000550-625133001-0000</t>
  </si>
  <si>
    <t>BNWAX</t>
  </si>
  <si>
    <t>BONE WAX</t>
  </si>
  <si>
    <t>CSANTO34</t>
  </si>
  <si>
    <t>CATIA SANTOS</t>
  </si>
  <si>
    <t>DIRETORIA</t>
  </si>
  <si>
    <t>OFMU</t>
  </si>
  <si>
    <t>OFICINA MECANICA / USINAGEM</t>
  </si>
  <si>
    <t>6673969</t>
  </si>
  <si>
    <t>(PRJ)_AZ DPA JANSSEN - REGISTRO DO DRENO DA VG 37 DENTRO RPA ESTÁ C/VAZAMENTOS DE ÁGUA</t>
  </si>
  <si>
    <t>057-009-003-008</t>
  </si>
  <si>
    <t>AMBIENTE EXTERNO DPA</t>
  </si>
  <si>
    <t>TNASCIM1</t>
  </si>
  <si>
    <t>1030352 - THIAGO NASCIMENTO</t>
  </si>
  <si>
    <t>0000008216-000000000-7680</t>
  </si>
  <si>
    <t>057-003</t>
  </si>
  <si>
    <t>ESTRUTURA PREDIAL BANDAID</t>
  </si>
  <si>
    <t>EFAC</t>
  </si>
  <si>
    <t>ACABAMENTO DE FIOS CATGUT</t>
  </si>
  <si>
    <t>EAAA</t>
  </si>
  <si>
    <t>ACABAMENTO DE AGULHAS</t>
  </si>
  <si>
    <t>1000013679-625133001-0000</t>
  </si>
  <si>
    <t>6722514</t>
  </si>
  <si>
    <t>(PRJ)_BOP_ABR - REALIZAR A PINTURA DOS MOTORES CENTRAL DE SOLUÇÕES, ÁREA TANQUE</t>
  </si>
  <si>
    <t>057-020-004</t>
  </si>
  <si>
    <t>ETE</t>
  </si>
  <si>
    <t>0000008255-000000000-7680</t>
  </si>
  <si>
    <t>0000008227-000000000-7680</t>
  </si>
  <si>
    <t>6744381</t>
  </si>
  <si>
    <t>(PRJ)_REALIZAR A PINTURA DA TAMPA DO PAINEL DE EMERGÊNCIA DA CAIXA DE CHEGADA/ETE (UTILIDADES)</t>
  </si>
  <si>
    <t>IMAIA1</t>
  </si>
  <si>
    <t>701069208 - ILDEBRANDO MAIA</t>
  </si>
  <si>
    <t>PO553082360</t>
  </si>
  <si>
    <t>P-1631(FAST)-Remoção de canaleta elétrica MAM Medtech</t>
  </si>
  <si>
    <t>P-1631(FAST)-Remoção de canaleta elétrica MAM Medtech
**26/05 - AGUARDANDO NOVA DATA A SER DEFINIDA PELO CLIENTE (MICHAEL PALMA)</t>
  </si>
  <si>
    <t>DMP</t>
  </si>
  <si>
    <t>DEPÓSITO DE MATÉRIA-PRIMA (FAB. II)</t>
  </si>
  <si>
    <t>6744414</t>
  </si>
  <si>
    <t>(PRJ)_PINTAR ESTRUTURA DA MÁQUINA - MÁQUINA SQUEEZER 02</t>
  </si>
  <si>
    <t>15</t>
  </si>
  <si>
    <t>EM PLANEJAMENTO</t>
  </si>
  <si>
    <t>SMONTOVA</t>
  </si>
  <si>
    <t>SERGIO MONTOVANI</t>
  </si>
  <si>
    <t>EPIDM</t>
  </si>
  <si>
    <t>FABRICAÇÃO DE AGULHAS PIDM</t>
  </si>
  <si>
    <t>ESEVERI1</t>
  </si>
  <si>
    <t>EVERTON WILLIAN SEVERINO</t>
  </si>
  <si>
    <t>EFLQ</t>
  </si>
  <si>
    <t>LABORATÓRIO QUÍMICO - MEDICAL</t>
  </si>
  <si>
    <t>RSIQUEI4</t>
  </si>
  <si>
    <t>ROSEMARA SIQUEIRA</t>
  </si>
  <si>
    <t>EA420</t>
  </si>
  <si>
    <t>FABRICAÇÃO DE AGULHAS 420</t>
  </si>
  <si>
    <t>1000013680-625133001-0000</t>
  </si>
  <si>
    <t>EACOPA</t>
  </si>
  <si>
    <t>COPA  -  Fáb.III</t>
  </si>
  <si>
    <t>EAAS2</t>
  </si>
  <si>
    <t>ACABAMENTO DE AGULHAS N.02</t>
  </si>
  <si>
    <t>1000000556-625133001-0000</t>
  </si>
  <si>
    <t>ASIND</t>
  </si>
  <si>
    <t>TS</t>
  </si>
  <si>
    <t>RE</t>
  </si>
  <si>
    <t>REFRIGERAÇÃO</t>
  </si>
  <si>
    <t>EAOF</t>
  </si>
  <si>
    <t>FABRICAÇÃO DE AGULHAS OFTALMICAS</t>
  </si>
  <si>
    <t>6792388</t>
  </si>
  <si>
    <t>(PRJ)_BOP_MAI - REALIZAR A PINTURA NO ARMÁRIO QUE ESTÁ MANCHADO PERTO DA IMPRESSORA NO LABORATÓRIO QUÍMICO - MEDICAL</t>
  </si>
  <si>
    <t>EAET</t>
  </si>
  <si>
    <t>FABRICACAO AGULHAS ETHALOY</t>
  </si>
  <si>
    <t>057-014</t>
  </si>
  <si>
    <t>ESTRUTURA PREDIAL CENTRAL IV</t>
  </si>
  <si>
    <t>0000008641-000000000-7680</t>
  </si>
  <si>
    <t>LISTA DE ORDENS PROGRAMADAS</t>
  </si>
  <si>
    <t>Data Prevista:</t>
  </si>
  <si>
    <t>Oficina:</t>
  </si>
  <si>
    <t>Item</t>
  </si>
  <si>
    <t>Ordens a serem filtradas</t>
  </si>
  <si>
    <t>FVIDAL6</t>
  </si>
  <si>
    <t>Luis Fernando Vidal</t>
  </si>
  <si>
    <t>057-004</t>
  </si>
  <si>
    <t>ESTRUTURA PREDIAL OB COTONETES</t>
  </si>
  <si>
    <t>0000008019-000000000-7680</t>
  </si>
  <si>
    <t>Unidade de negócio principal</t>
  </si>
  <si>
    <t>ESFT</t>
  </si>
  <si>
    <t>FIOS TEXTEIS</t>
  </si>
  <si>
    <t>(PRJ)_BOP_MAI - REALIZAR A PINTURA NO ARMÁRIO QUE ESTÁ MANCHADO PERTO DA IMPRESSORA NO LABORATÓRIO QUÍMICO - MEDICAL
**28/06 - SOMENTE DOMINGO**</t>
  </si>
  <si>
    <t>ASILV9</t>
  </si>
  <si>
    <t>ANTONIO CARLOS SILVA</t>
  </si>
  <si>
    <t>R04</t>
  </si>
  <si>
    <t>Depósito de Inflamáveis (Transvase) - MAM MedTech</t>
  </si>
  <si>
    <t>JSILV67</t>
  </si>
  <si>
    <t>JORGE AUGUSTO DOS SANTOS SILVA</t>
  </si>
  <si>
    <t>6929459</t>
  </si>
  <si>
    <t>(PRJ)_INSTALAR DUAS SIRENES DE ABANDONO DE ÁREA NA CENTRAL 3, UMA DO LADO EXTERNO EM FRENTE AO ESTACIONAMENTO, E OUTRO DENTRO DA NOVA SALA DE MONITORAMENTO E KPI’S DA MANUFATURA</t>
  </si>
  <si>
    <t>057-013-002-001</t>
  </si>
  <si>
    <t>Auditório Principal</t>
  </si>
  <si>
    <t>0000008622-000000000-7680</t>
  </si>
  <si>
    <t>NOC</t>
  </si>
  <si>
    <t>NUMERO DA ORDEM DE COMPRA</t>
  </si>
  <si>
    <t>1000018587-625133001-0000</t>
  </si>
  <si>
    <t>0000008520-000000000-7680</t>
  </si>
  <si>
    <t>R12</t>
  </si>
  <si>
    <t>Arames - Semi-Acabado - MAM MedTech</t>
  </si>
  <si>
    <t>KSANTOS2</t>
  </si>
  <si>
    <t xml:space="preserve">KARINE SANTOS </t>
  </si>
  <si>
    <t>6968015</t>
  </si>
  <si>
    <t>7033938</t>
  </si>
  <si>
    <t>6969747</t>
  </si>
  <si>
    <t>(PRJ)_REALIZAR A PINTURA EXTERNA DO TAMBOREADOR, NA ÁREA DO DRILL, TAMBOREADOR 02 - OTOCARVA</t>
  </si>
  <si>
    <t>RROCHA12</t>
  </si>
  <si>
    <t>75594391 - RAFAEL PEREIRA DA ROCHA</t>
  </si>
  <si>
    <t>LPICANSO</t>
  </si>
  <si>
    <t>LEANDRO PICANÇO DE SOUZA</t>
  </si>
  <si>
    <t>ATEIXEI9</t>
  </si>
  <si>
    <t>ADEMILSON R. TEIXEIRA</t>
  </si>
  <si>
    <t>6987251</t>
  </si>
  <si>
    <t>(PRJ)_BOP_AGO - REALIZAR A ORGANIZAR DE CABOS ELÉTRICOS E FIOS, ÁREA INTERNA FIOS TEXTEIS</t>
  </si>
  <si>
    <t>6968035</t>
  </si>
  <si>
    <t>(PRJ)_REALIZAR O NIVELAMENTO DO PISO EM TORNO DO CHUVEIRO LAVA OLHOS, SALA SCRUBBER - ETO</t>
  </si>
  <si>
    <t>ETOSCRU</t>
  </si>
  <si>
    <t>SALA SCRUBBER - ETO</t>
  </si>
  <si>
    <t>057-024-027</t>
  </si>
  <si>
    <t>ÁREA DOS PANELÕES</t>
  </si>
  <si>
    <t>6938149</t>
  </si>
  <si>
    <t>(PRJ)_VD - REALIZAR A PINTURA NA TURBINA 03 - INSUFLAMENTO CENTRAL DE CLIMATIZAÇÃO DA FÁBRICA DE OB</t>
  </si>
  <si>
    <t>SMARIAN4</t>
  </si>
  <si>
    <t>SIDINEI MARIANO</t>
  </si>
  <si>
    <t>057-010-006-004</t>
  </si>
  <si>
    <t>TELHADO DEPÓSITO DINDA</t>
  </si>
  <si>
    <t xml:space="preserve"> </t>
  </si>
  <si>
    <t>EFES</t>
  </si>
  <si>
    <t>ÁREA DAS ESTUFAS</t>
  </si>
  <si>
    <t>7047713</t>
  </si>
  <si>
    <t>(PRJ)_REALIZAR A PINTURA DA ESTUFA DE SECAGEM 02, REMOVER OXIDAÇÃO E FERRUGEM DO EQUIPAMENTO, TRATAMENTO COM FERRÓX</t>
  </si>
  <si>
    <t>057-006-002-011</t>
  </si>
  <si>
    <t>FABRICAÇÃO - PESAGEM</t>
  </si>
  <si>
    <t>7071243</t>
  </si>
  <si>
    <t>(PRJ)_COLOCAR ALETAS EM AR CONDICIONADO SALA ADM CATGUT</t>
  </si>
  <si>
    <t>14</t>
  </si>
  <si>
    <t>AGUARDANDO PLANEJAMENTO</t>
  </si>
  <si>
    <t>P-1847</t>
  </si>
  <si>
    <t>7077459</t>
  </si>
  <si>
    <t>(PRJ)_ALTERAR POSICIONAMENTO DO RELÓGIO DE PONTO PRÓXIMO A PORTA AUTOMÁTICA EM FRENTE AO LAGO</t>
  </si>
  <si>
    <t>7077226</t>
  </si>
  <si>
    <t>(PRJ)_EHS&amp;S VM - SUBSTITUIR VÁLVULA DANIFICADA DO HIDRANTE DE EMERGÊNCIA (HIDRANTE 44)</t>
  </si>
  <si>
    <t>(PRJ)_REALIZAR O NIVELAMENTO DO PISO EM TORNO DO CHUVEIRO LAVA OLHOS, SALA SCRUBBER - ETO
25/09 - AGUARDANDO CONDIÇÃO DA ÁREA</t>
  </si>
  <si>
    <t>ESOV</t>
  </si>
  <si>
    <t>OVER</t>
  </si>
  <si>
    <t>BFERNAN5</t>
  </si>
  <si>
    <t>Barbara Fernandes</t>
  </si>
  <si>
    <t>7081424</t>
  </si>
  <si>
    <t>(PRJ)_REPARO EM VAZAMENTO DE TINTA E ÁGUA PELO SPRINKLER, ÁREA FURAÇÃO A LASER</t>
  </si>
  <si>
    <t>EAFL</t>
  </si>
  <si>
    <t>ÁREA FURAÇÃO A LASER</t>
  </si>
  <si>
    <t>RCHAGAS</t>
  </si>
  <si>
    <t>RONALDO MIRANDA CHAGAS</t>
  </si>
  <si>
    <t>OFICINA DE MANUTENÇÃO</t>
  </si>
  <si>
    <t>ESFE</t>
  </si>
  <si>
    <t>1 º FECHAMENTO</t>
  </si>
  <si>
    <t>7041815</t>
  </si>
  <si>
    <t>(PRJ)_INSTALAR GRADES NOS BUEIROS NA ÁREA DO RECEBIMENTO/CRR</t>
  </si>
  <si>
    <t>057-023-009</t>
  </si>
  <si>
    <t>ÁREA DE RECEBIMENTO</t>
  </si>
  <si>
    <t>TRAMOS11</t>
  </si>
  <si>
    <t>Thiago Ramos oliveira</t>
  </si>
  <si>
    <t>(PRJ)_ALTERAR POSICIONAMENTO DO RELÓGIO DE PONTO PRÓXIMO A PORTA AUTOMÁTICA EM FRENTE AO LAGO
***AGUARDANDO LIBERAÇÃO DA AREA***</t>
  </si>
  <si>
    <t>FRSILVA</t>
  </si>
  <si>
    <t>FLAVIO ROGÉRIO DA SILVA</t>
  </si>
  <si>
    <t>7086150</t>
  </si>
  <si>
    <t>VD - Porta do corredor dos cubículos corroída</t>
  </si>
  <si>
    <t>MVASCON8</t>
  </si>
  <si>
    <t>Marciel Vasconcelos</t>
  </si>
  <si>
    <t>7087557</t>
  </si>
  <si>
    <t>(PRJ)_REALIZAR A PINTURA DO PÉ DAS BANCADAS 1 E 2 DO PROLENE MESH</t>
  </si>
  <si>
    <t>057-009-003-007</t>
  </si>
  <si>
    <t>ÁREA DE RPA</t>
  </si>
  <si>
    <t>WCF</t>
  </si>
  <si>
    <t>WC FEMININO - FAB.II</t>
  </si>
  <si>
    <t>LFERRE14</t>
  </si>
  <si>
    <t>1031312 - LUIZ HENRIQUE FERREIRA</t>
  </si>
  <si>
    <t>7083426</t>
  </si>
  <si>
    <t>PRJ)_(ORÇAMENTO) - TROCAR TOMADA PADRÃO ABNT DE 10A P/ 20A NO LAB.QUÍMICO DA MEDICAL, PARA BM5718 – BANHO MARIA</t>
  </si>
  <si>
    <t>0000008258-000000000-7680</t>
  </si>
  <si>
    <t>7093599</t>
  </si>
  <si>
    <t>(PRJ)_EFETUAR LIMPEZA NAS GRELHAS DE AR CONDICIONADO -  ETHALOY</t>
  </si>
  <si>
    <t>JRODR221</t>
  </si>
  <si>
    <t>JOÃO RODRIGUES CALDEIRA</t>
  </si>
  <si>
    <t>MSILVA34</t>
  </si>
  <si>
    <t>MARCOS SIQUEIRA DA SILVA</t>
  </si>
  <si>
    <t>7093550</t>
  </si>
  <si>
    <t>(PRJ)_ACAB.SUTURAS - 1º FECHAMENTO, INSTALAR 2 CANTONEIRAS NA COLUNA, CANTONEIRA DE 2” LARGA EM FRENTE A FOIL (GERANDO PARTICULAS)</t>
  </si>
  <si>
    <t>7089108</t>
  </si>
  <si>
    <t>(PRJ)_ARAMES: BOP_OUT - LIMPEZA/PINTURA NA TALHA DO CORTE E APONTAMENTO</t>
  </si>
  <si>
    <t>1000000510-625133001-0000</t>
  </si>
  <si>
    <t>057-020-008</t>
  </si>
  <si>
    <t>CASA DE MÁQUINA HVAC</t>
  </si>
  <si>
    <t>7104421</t>
  </si>
  <si>
    <t xml:space="preserve">(PRJ)_RETIRAR CÂMARA CLIMÁTICA DA ANTIGA SALA DE CALIBRAÇÃO (PRÉDIO DO JONTEX) E LEVAR PARA A MANUTENÇÃO DA MEDICAL (FAZENDINHA) – DIMENSÕES: ALTURA – 1.85m X 0.70m X 0,90m – 150kg (RETIRAR E COLOCAR </t>
  </si>
  <si>
    <t>(PRJ)_RETIRAR CÂMARA CLIMÁTICA DA ANTIGA SALA DE CALIBRAÇÃO (PRÉDIO DO JONTEX) E LEVAR PARA A MANUTENÇÃO DA MEDICAL (FAZENDINHA) – DIMENSÕES: ALTURA – 1.85m X 0.70m X 0,90m – 150kg (RETIRAR E COLOCAR NO PALLET P/TRANSPORTAR COM EMPILHADEIRA ATÉ MANUT.MED
                               CC: 1000000514-625133001-0000</t>
  </si>
  <si>
    <t>SA-ITS-ECMMSINTADM</t>
  </si>
  <si>
    <t>Admin Interface Maximo ECMMS</t>
  </si>
  <si>
    <t>ISS</t>
  </si>
  <si>
    <t>SALA DA ISS</t>
  </si>
  <si>
    <t>7106631</t>
  </si>
  <si>
    <t>(PRJ)_LIMPEZA DA GRELHA EXTERNA COM MUITA SUJEIRA, EXAUSTOR AR VE10 (TÚNEL DE AERACAO) - ETO</t>
  </si>
  <si>
    <t>(PRJ)_LIMPEZA DA GRELHA EXTERNA COM MUITA SUJEIRA, EXAUSTOR AR VE10 (TÚNEL DE AERACAO) - ETO
CC: 1000000548-625133001-0000</t>
  </si>
  <si>
    <t>EMES</t>
  </si>
  <si>
    <t>SALA DO CLP PRIMÁRIO - ETO</t>
  </si>
  <si>
    <t>057-023</t>
  </si>
  <si>
    <t>ESTRUTURA PREDIAL CRR</t>
  </si>
  <si>
    <t>RFILHO</t>
  </si>
  <si>
    <t>RAIMUNDO MOISES DA SILVA</t>
  </si>
  <si>
    <t>7106651</t>
  </si>
  <si>
    <t>(PRJ)_RETIRAR CADEIRAS NA COOPERATIVA E LEVAR SUTURAS/ANALISAR PONTOS ELETRICOS NA SALA DE SUTURAS P/3 SECADORES 2200W 220V / CONFECÇÃO DE EXTENSÃO (APOIO EVENTO CONSCIÊNCIA NEGRA) – EVENTO ENTRE DIAS</t>
  </si>
  <si>
    <t>(PRJ)_RETIRAR CADEIRAS NA COOPERATIVA E LEVAR SUTURAS/ANALISAR PONTOS ELETRICOS NA SALA DE SUTURAS P/3 SECADORES 2200W 220V / CONFECÇÃO DE EXTENSÃO (APOIO EVENTO CONSCIÊNCIA NEGRA) – EVENTO ENTRE DIAS 21 E 23/NOV
CC: 1000000508-625133001-0000</t>
  </si>
  <si>
    <t>ESCOPA</t>
  </si>
  <si>
    <t>COPA - FABRICA II</t>
  </si>
  <si>
    <t>KSILV18</t>
  </si>
  <si>
    <t>KAREN CRISTINA Q.S. SILVA</t>
  </si>
  <si>
    <t>6599107</t>
  </si>
  <si>
    <t>(PRJ)_INSPECÃO E FILMAGEM  GERAL - TUBULAÇÕES  E CAIXAS DE ESGOTO FÁBRICA I</t>
  </si>
  <si>
    <t>(PRJ)_INSPECÃO E FILMAGEM  GERAL - TUBULAÇÕES  E CAIXAS DE ESGOTO FÁBRICA I
CC: 1000000544-625133001-0000</t>
  </si>
  <si>
    <t>FABRICA I</t>
  </si>
  <si>
    <t xml:space="preserve"> CATGUT</t>
  </si>
  <si>
    <t>6651915</t>
  </si>
  <si>
    <t>(PRJ)_INSPECÃO E FILMAGEM  GERAL - TUBULAÇÕES  E CAIXAS DE ESGOTO FÁBRICA IV (FABRICA DE MATERIA PRIMA DE AGULHAS (WIRE MILLS))</t>
  </si>
  <si>
    <t>(PRJ)_INSPECÃO E FILMAGEM  GERAL - TUBULAÇÕES  E CAIXAS DE ESGOTO FÁBRICA IV (FABRICA DE MATERIA PRIMA DE AGULHAS (WIRE MILLS))
CC: 1000000538-625133001-0000</t>
  </si>
  <si>
    <t>7115903</t>
  </si>
  <si>
    <t>(PRJ) EHS- RETIRAR ADESIVOS DO CHÃO PROXIMO DA ENTRADA DE CATGUT E SUTURAS</t>
  </si>
  <si>
    <t>(PRJ) EHS- RETIRAR ADESIVOS DO CHÃO PROXIMO DA ENTRADA DE CATGUT E SUTURAS
CC: 1000000544-625133001-0000</t>
  </si>
  <si>
    <t>7112830</t>
  </si>
  <si>
    <t>(PRJ)_PINTURA EM PONTOS DE OXIDAÇÃO, FIOS TEXTEIS, PÉ DA BANCADA ONDE FICAM A BALANÇA E OS COMPUTADORES</t>
  </si>
  <si>
    <t>VEM</t>
  </si>
  <si>
    <t>VESTIARIO MASCULINO - FAB.II</t>
  </si>
  <si>
    <t>7113807</t>
  </si>
  <si>
    <t>(PRJ)_SALA DE ASSEPSIA, REALIZAR A PINTURA TOTAL DA PAREDES (ASSEPSIA FEMININA E MASCULINA – ACABAMENTO DE SUTURAS)</t>
  </si>
  <si>
    <t>EASA</t>
  </si>
  <si>
    <t>SALA DE ASSEPSIA - FÁBRICA II</t>
  </si>
  <si>
    <t>7113809</t>
  </si>
  <si>
    <t>(PRJ)_SALA DE ASSEPSIA - TRATAR E PINTAR FERRUGEM NOS SUPORTES DE PENDURAR CABIDES/JALECOS</t>
  </si>
  <si>
    <t>7110807</t>
  </si>
  <si>
    <t>(PRJ)_INSTALAR SUPORTE P/ROLO DE PANO DE LIMPEZA (SUNTARA – RL) NO ETO</t>
  </si>
  <si>
    <t>7114165</t>
  </si>
  <si>
    <t>(PRJ)_EV:18251_REALIZAR A PINTURA DO CHÃO C/MANCHAS, DEP.ARAMES - SEMI-ACABADO (R12) MAM MEDTECH</t>
  </si>
  <si>
    <t>7109693</t>
  </si>
  <si>
    <t>(PRJ)_EFETUAR LIMPEZA NAS GRELHAS DE INSUFLAMENTO E RETORNO DA ENTRADA DO ACABAMENTO OFTÁLMICA</t>
  </si>
  <si>
    <t>7098860</t>
  </si>
  <si>
    <t>(PRJ)_PINTURA EM PONTO DE FERRUGEM, ENROLAMENTO, NA BANCADA 45 PRÓXIMO A HARRO</t>
  </si>
  <si>
    <t>ESER</t>
  </si>
  <si>
    <t>ENROLAMENTO</t>
  </si>
  <si>
    <t>7099051</t>
  </si>
  <si>
    <t>(PRJ)_BOP_OUT – REALIZAR A PINTURA EM PONTOS DE OXIDAÇÃO/FERRUGEM, ARMÁRIO CORTA FOGO, LUMINÁRIAS, ARMÁRIO PRÓXIMO AO TANQUE E TANQUE, NA SALA DA MANSERV EM SUTURAS</t>
  </si>
  <si>
    <t>7099055</t>
  </si>
  <si>
    <t>(PRJ)_REALIZAR REPARO EM ARMÁRIOS, NO DML DA MANSERV EM ACABAMENTO DE SUTURAS</t>
  </si>
  <si>
    <t>7100372</t>
  </si>
  <si>
    <t>(PRJ)_ENDO - REALIZAR A PINTURA NOS PÉS DAS BANCADAS C/FERRUGEM</t>
  </si>
  <si>
    <t>ENDO</t>
  </si>
  <si>
    <t>AREA DE PRODUTOS ENDO</t>
  </si>
  <si>
    <t>1000002033-625133001-0000</t>
  </si>
  <si>
    <t>7098982</t>
  </si>
  <si>
    <t>(PRJ)_REALIZAR A PINTURA E CORREÇÃO EM PONTOS DE FERRUGEM, FIOS TEXTEIS INTERNO, BANCADA 63, MESA DA FTSPO4, BANCADA FTBEM04 E BANCADA ATIVO 034.189</t>
  </si>
  <si>
    <t>7140600</t>
  </si>
  <si>
    <t>(PRJ)_VD - CALHA PARSHALL 3 ESTÁ FALTANDO TAMPA, CORRIGIR</t>
  </si>
  <si>
    <t>7118809</t>
  </si>
  <si>
    <t>(PRJ)_REALIZAR A PINTURA TUBULAÇÃO PVC DE ÓLEO SOLÚVEL DAS RETÍFICAS, POLIMENTO DE FIOS DE CATGUT</t>
  </si>
  <si>
    <t>(PRJ)_REALIZAR A PINTURA TUBULAÇÃO PVC DE ÓLEO SOLÚVEL DAS RETÍFICAS, POLIMENTO DE FIOS DE CATGUT
CC: 1000000544-625133001-0000</t>
  </si>
  <si>
    <t>7123256</t>
  </si>
  <si>
    <t>(PRJ)_(AG.DETALHES) - NECESSÁRIO INSTALAR TOMADA P/CARREGAMENTO DO CARRINHO ELÉTRICO - OVER</t>
  </si>
  <si>
    <t>RROSA7</t>
  </si>
  <si>
    <t>REINALDO ROSA</t>
  </si>
  <si>
    <t>7122392</t>
  </si>
  <si>
    <t>(PRJ)_REALIZAR A LIMPEZA/LAVAGEM EXTERNA DO TANQUE DE NITROGÊNIO ETO</t>
  </si>
  <si>
    <t>7127431</t>
  </si>
  <si>
    <t>MRENO</t>
  </si>
  <si>
    <t>MARCIO RENO</t>
  </si>
  <si>
    <t>JOLIVE57</t>
  </si>
  <si>
    <t>1017583 - JOSE ALBERTO OLIVEIRA</t>
  </si>
  <si>
    <t>(PRJ)_REALIZAR A PINTURA DO GARFO DO CARRINHO DE SETUP DA SELOVAC 2 (OXIDADO)/OVER</t>
  </si>
  <si>
    <t>(PRJ)_REALIZAR A PINTURA DO GARFO DO CARRINHO DE SETUP DA SELOVAC 2 (OXIDADO)/OVER
C.C: 1000000547-625133001-0000</t>
  </si>
  <si>
    <t>CORAGU</t>
  </si>
  <si>
    <t>CORREDOR DE ACESSO AOS ESCRITÓRIOS PISO INFERIOR - AGULHAS</t>
  </si>
  <si>
    <t>7138293</t>
  </si>
  <si>
    <t>(PRJ)_PINTURA - FERRUGEM NO PÉ DA MESA DE REPROCESSO (TRANSFORMER#01)</t>
  </si>
  <si>
    <t>7138334</t>
  </si>
  <si>
    <t>(PRJ)_PINTURA - PONTOS DE FERRUGEM PRATELEIRA/BANCADAS</t>
  </si>
  <si>
    <t>7138610</t>
  </si>
  <si>
    <t>(PRJ)_EFETUAR PINTURA NAS TUBULAÇÕES DE ALIMENTAÇÃO DE AGUA, AR COMPRIMIDO E ELÉTRICA  DAS STATICS</t>
  </si>
  <si>
    <t>7138292</t>
  </si>
  <si>
    <t>(PRJ)_PINTURA - FERRUGEM NO PÉ DA MESA DE USO GERAL NA TRANSFORMER</t>
  </si>
  <si>
    <t>7138612</t>
  </si>
  <si>
    <t>(PRJ)_EFETUAR PINTURA NA ESTRUTURA DOS TAMBOREADORES 01, 02 E 03</t>
  </si>
  <si>
    <t>FRODRI90</t>
  </si>
  <si>
    <t>FELIPE AUGUSTO RODRIGUES</t>
  </si>
  <si>
    <t>7138342</t>
  </si>
  <si>
    <t>(PRJ)_PINTURA - PONTOS DE OXIDAÇÃO DA HARAMURA</t>
  </si>
  <si>
    <t>7138611</t>
  </si>
  <si>
    <t>(PRJ)_EFETUAR PINTURA NA BASE DAS PANELAS E PAINÉIS DAS STATICS</t>
  </si>
  <si>
    <t>7138345</t>
  </si>
  <si>
    <t>(PRJ)_PINTURA - PONTOS DE OXIDAÇÃO DA RFM</t>
  </si>
  <si>
    <t>FIICS</t>
  </si>
  <si>
    <t>SALA CAMARA DE SECAGEM</t>
  </si>
  <si>
    <t>7138348</t>
  </si>
  <si>
    <t>(PRJ)_PINTURA - PONTOS DE OXIDAÇÃO DA ROTULADEIRA 02</t>
  </si>
  <si>
    <t>7136796</t>
  </si>
  <si>
    <t>(PRJ)_EFETUAR PINTURA NOS DUTOS DE EXAUSTÃO DE ÁCIDO DAS POLINIX  - ETHALOY</t>
  </si>
  <si>
    <t>EFEC</t>
  </si>
  <si>
    <t>ESTAÇÃO DE TRATAMENTO DE CROMO</t>
  </si>
  <si>
    <t>7135258</t>
  </si>
  <si>
    <t>(PRJ)_PINTURA DA FACHADA DO LABORATÓRIO DE CALIBRAÇÃO DA MEDTECH, FACHADA TOTAL, TUBULAÇÕES, PORTA, PINTAR PLATIBANDA SUPERIOR, PINTURA GERAL</t>
  </si>
  <si>
    <t>CMEI</t>
  </si>
  <si>
    <t>CALIBRAÇÃO MECÂNICA/ELETRÔNICA INSTRUMENTOS</t>
  </si>
  <si>
    <t>7131484</t>
  </si>
  <si>
    <t>(PRJ)_EFETUAR PINTURA TOTAL NA PAREDE DA SALA DOS SUPERVISORES DA MANUTENÇÃO (CALIBRAÇÃO/ELÉTRICA/MECÂNICA)</t>
  </si>
  <si>
    <t>MANCOORD</t>
  </si>
  <si>
    <t>SALA DA COORDENAÇÃO DA MANUTENÇÃO</t>
  </si>
  <si>
    <t>7135263</t>
  </si>
  <si>
    <t>(PRJ)_PIDM - EFETUAR INSPEÇÃO DIÁRIA, LIMPEZA E PREVENTIVA EM EQUIPAMENTOS DE AR-CONDICIONADO NA ÁREA DE PIDM – FEV2024</t>
  </si>
  <si>
    <t>7123870</t>
  </si>
  <si>
    <t>BOP_DEZ (EV:18280) PINTURA DO PISO LASCADA NO DEPÓSITO DE QUIMICOS 2 (R07) MAM MEDTECH</t>
  </si>
  <si>
    <t>7242573</t>
  </si>
  <si>
    <t>(PRJ)_FORNECIMENTO PTA Z-45 S/OPERADOR PARA TIME DA NASCENTES AMBIENTAL NOS DIAS 13/JAN E 31/JAN (SUPRESSÃO PINUS SE-05 / PODAS)</t>
  </si>
  <si>
    <t>(PRJ)_FORNECIMENTO PTA Z-45 S/OPERADOR PARA TIME DA NASCENTES AMBIENTAL NOS DIAS 13/JAN E 31/JAN (SUPRESSÃO PINUS SE-05 / PODAS)
CC: 0000008204-000000000-7680</t>
  </si>
  <si>
    <t>057-020-002-005</t>
  </si>
  <si>
    <t>SUBESTAÇÃO  DE ENERGIA 5-PARTE INTERNA</t>
  </si>
  <si>
    <t>7104423</t>
  </si>
  <si>
    <t>(PRJ)_REALIZAR A PINTURA TOTAL DAS PAREDES CORTE E APONTAMENTO</t>
  </si>
  <si>
    <t>(PRJ)_REALIZAR A PINTURA TOTAL DAS PAREDES CORTE E APONTAMENTO
CC: 1000011658-625133001-0000</t>
  </si>
  <si>
    <t>97</t>
  </si>
  <si>
    <t>REABERTA</t>
  </si>
  <si>
    <t>EMARINH1</t>
  </si>
  <si>
    <t>Emanuel Elias Marinho de Souza</t>
  </si>
  <si>
    <t>7248269</t>
  </si>
  <si>
    <t>(PRJ)_REPARO EM CORTINA DE AR DA ASSEPSIA COM DEFEITO (EXTRUSORA), FÁBRICA DE PLÁSTICOS DO CRR</t>
  </si>
  <si>
    <t>057-023-004</t>
  </si>
  <si>
    <t>FÁBRICA DE PLÁSTICOS</t>
  </si>
  <si>
    <t>NKUSUKE</t>
  </si>
  <si>
    <t>NICOLE KUSUKE</t>
  </si>
  <si>
    <t>057-019-006</t>
  </si>
  <si>
    <t>Iluminação Ruas Internas do Campus</t>
  </si>
  <si>
    <t>0000008243-000000000-7680</t>
  </si>
  <si>
    <t>057-020-005-005</t>
  </si>
  <si>
    <t>SALA DO PROJETO ICE(CHILLER)</t>
  </si>
  <si>
    <t>JLOPES10</t>
  </si>
  <si>
    <t>JOÃO LOPES</t>
  </si>
  <si>
    <t>7140525</t>
  </si>
  <si>
    <t>(PRJ)_COIFA COM PONTO DE OXIDAÇÃO - BONEWAX MANUAL</t>
  </si>
  <si>
    <t>FSILVA24</t>
  </si>
  <si>
    <t xml:space="preserve">FERNANDA C SILVA </t>
  </si>
  <si>
    <t>7140527</t>
  </si>
  <si>
    <t>(PRJ)_COIFA COM PONTO DE OXIDAÇÃO - BONEWAX HONEYCOMB</t>
  </si>
  <si>
    <t>7252081</t>
  </si>
  <si>
    <t>(PRJ)_CBRE C3179 TROCAR O POSTE QUE ENCONTRA-SE NA ÁREA PRÓXIMO AO EMBARQUE E DESEMBARQUE (PLATAFORMA DE ÔNIBUS), DANIFICADO POR COLISÃO DO FRETADO DE TRANSPORTE</t>
  </si>
  <si>
    <t>(PRJ)_CBRE C3179 TROCAR O POSTE QUE ENCONTRA-SE NA ÁREA PRÓXIMO AO EMBARQUE E DESEMBARQUE (PLATAFORMA DE ÔNIBUS), DANIFICADO POR COLISÃO DO FRETADO DE TRANSPORTE
CC: 0000008244-000000000-7680</t>
  </si>
  <si>
    <t>057-021-001-002</t>
  </si>
  <si>
    <t>SALA DE ADMINISTRAÇÃO DO TRANSPORTE</t>
  </si>
  <si>
    <t>7143693</t>
  </si>
  <si>
    <t>(PRJ)_RETIRAR ADESIVO E PINTAR PAREDE, NA OFICINA MECANICA / USINAGEM - FAZENDINHA</t>
  </si>
  <si>
    <t>(PRJ)_RETIRAR ADESIVO E PINTAR PAREDE, NA OFICINA MECANICA / USINAGEM - FAZENDINHA
CC: 1000000514-625133001-0000</t>
  </si>
  <si>
    <t>7091081</t>
  </si>
  <si>
    <t>VM - porta do painel danificado ETE</t>
  </si>
  <si>
    <t>VM - porta do painel danificado ETE
CC: 0000008257-000000000-7680</t>
  </si>
  <si>
    <t>SPT-001</t>
  </si>
  <si>
    <t>SISTEMA DE PRÉ TRATAMENTO DE EFLUENTES</t>
  </si>
  <si>
    <t>P-1920</t>
  </si>
  <si>
    <t>P-1920(FAST)-Abrigo carregador CD Guarulhos-RV1</t>
  </si>
  <si>
    <t>JJGUA</t>
  </si>
  <si>
    <t>JOHNSON &amp; JOHNSON GUARULHOS</t>
  </si>
  <si>
    <t>VDEANDR1</t>
  </si>
  <si>
    <t>VINICIUS DE ANDRADE</t>
  </si>
  <si>
    <t>DSOUZA7</t>
  </si>
  <si>
    <t>DAYANE SOUZA</t>
  </si>
  <si>
    <t>7147556</t>
  </si>
  <si>
    <t>(PRJ)_EV: 18308 BOP JAN - BORDAS DA BANCADA II C/DEFEITO DEP.VAULT (R10) MAM MEDTECH</t>
  </si>
  <si>
    <t>(PRJ)_EV: 18308 BOP JAN - BORDAS DA BANCADA II C/DEFEITO DEP.VAULT (R10) MAM MEDTECH
CC: 1000000511-625133001-0000</t>
  </si>
  <si>
    <t>R10</t>
  </si>
  <si>
    <t>Vault - MAM MedTech</t>
  </si>
  <si>
    <t>7147554</t>
  </si>
  <si>
    <t>(PRJ)_EV: 18306 BOP JAN - PINTURA DANIFICADA E FERRUGEM NOS ARMÁRIOS DESLIZANTES DEP.VAULT (R10) MAM MEDTECH</t>
  </si>
  <si>
    <t>(PRJ)_EV: 18306 BOP JAN - PINTURA DANIFICADA E FERRUGEM NOS ARMÁRIOS DESLIZANTES DEP.VAULT (R10) MAM MEDTECH
CC: 1000000511-625133001-0000</t>
  </si>
  <si>
    <t>NOC305499</t>
  </si>
  <si>
    <t>SOLDA EM BANCADA DA ÁREA DE INFLAMAVEIS</t>
  </si>
  <si>
    <t>JJAV</t>
  </si>
  <si>
    <t>JOHNSON &amp; JOHNSON AREA VERDE</t>
  </si>
  <si>
    <t>RRIBEI26</t>
  </si>
  <si>
    <t>RENATA RIBEIRO E SILVA</t>
  </si>
  <si>
    <t>ENGMAN</t>
  </si>
  <si>
    <t>MANUTENÇÃO GERAL</t>
  </si>
  <si>
    <t>7150316</t>
  </si>
  <si>
    <t>(PRJ)_REPARO EM DUTOS DE EXAUSTÃO DANIFICADOS - TUNEL AERAÇÃO - ETO</t>
  </si>
  <si>
    <t>7150313</t>
  </si>
  <si>
    <t>(PRJ)_REALIZAR A PINTURA TOTAL NA PAREDE PRÓXIMO A SAÍDA DE RESÍDUOS - BUDY - COM PARTICULADO (ENDO)</t>
  </si>
  <si>
    <t>ALIMA5</t>
  </si>
  <si>
    <t>ANDREIA LIMA</t>
  </si>
  <si>
    <t>7150315</t>
  </si>
  <si>
    <t>(PRJ)_ENDO - INSTALAR CANTONEIRA NA PORTA DE RESÍDUOS E COMPUTADOR</t>
  </si>
  <si>
    <t>7150320</t>
  </si>
  <si>
    <t>(PRJ)_ENDO_ARMÁRIO COM FERRUGEM, REALIZAR A PINTURA</t>
  </si>
  <si>
    <t>7149904</t>
  </si>
  <si>
    <t>(PRJ)_REALIZAR A PINTURA EM PONTOS DE FERRUGEM - FIOS TEXTEIS INTERNO - BANCADA 63, MESA QUE ESTÁ A FTSPO4, BANCADA FTBEM04 E BANCADA ATIVO 034.189</t>
  </si>
  <si>
    <t>7149914</t>
  </si>
  <si>
    <t>(PRJ)_REALIZAR A CORREÇÃO E PINTURA EM PONTOS DE FERRUGEM – ENROLAMENTO (MESA SAW MACHINE 11, 12, 14 E BANCADA 45 PRÓXIMO A HARRO)</t>
  </si>
  <si>
    <t>7145513</t>
  </si>
  <si>
    <t>JJRC - (PRJ)_PINTAR PAREDE DA BANCADA 54 NO BONE WAX</t>
  </si>
  <si>
    <t>JGOMES8</t>
  </si>
  <si>
    <t>JOSÉ VALDIR DANTAS GOMES</t>
  </si>
  <si>
    <t>7145521</t>
  </si>
  <si>
    <t>JJRC - (PRJ)_REPARO EM PEDRA DA BANCADA 11 DANIFICADA NO BONE WAX</t>
  </si>
  <si>
    <t>7152397</t>
  </si>
  <si>
    <t>(PRJ)_REALIZAR REFORÇO NA PINTURA DE DEMARCAÇÕES DE VAGAS NO ESTACIONAMENTO E FAZER MARCAÇÃO DE PROÍBIDO ESTACIONAR</t>
  </si>
  <si>
    <t>057-010-002</t>
  </si>
  <si>
    <t>DEPÓSITO DE QUIMÍCOS</t>
  </si>
  <si>
    <t>7293353</t>
  </si>
  <si>
    <t>(PRJ)_REALIZAR NOVA PINTURA NO PISO, COM ANTIDERRAPANTE EM FRENTE AOS EQUIPAMENTOS DA CRR, ALINHAR NO LOCAL COM NICOLE/AMANDA</t>
  </si>
  <si>
    <t>DABRAHAO</t>
  </si>
  <si>
    <t>DAVID ABRAHAO FREIRE</t>
  </si>
  <si>
    <t>7161106</t>
  </si>
  <si>
    <t>(PRJ)_BOP - INSTALAR TRINCO FERROLHO NA PORTA DA CASA MÁQUINAS SECUNDÁRIA - ETO</t>
  </si>
  <si>
    <t>EEMS</t>
  </si>
  <si>
    <t>CASA DE MAQUINAS SECUNDARIAS</t>
  </si>
  <si>
    <t>7161105</t>
  </si>
  <si>
    <t>(PRJ)_REALIZAR A  TROCA DOS LEDS QUEIMADOS E COM DEFEITO NO HALL DE ENTRADA DA FÁBRICA IV (FITA LED)</t>
  </si>
  <si>
    <t>057-027</t>
  </si>
  <si>
    <t>ESTRUTURA PREDIAL BOMBEIROS</t>
  </si>
  <si>
    <t>7298904</t>
  </si>
  <si>
    <t>(PRJ)_REALIZAR ADEQUAÇÃO DA INFRAESTRUTURA P/AUMENTAR A ILUMINAÇÃO DO LOCAL - CASA DE MÁQUINAS DO DPA</t>
  </si>
  <si>
    <t>SAL-170</t>
  </si>
  <si>
    <t>CASA DE MAQUINAS DPA</t>
  </si>
  <si>
    <t>0000008942-6251330103-7680-BR12</t>
  </si>
  <si>
    <t>057-005</t>
  </si>
  <si>
    <t>ESTRUTURA PREDIAL HIGIENE ORAL</t>
  </si>
  <si>
    <t>0000008038-000000000-7680</t>
  </si>
  <si>
    <t>FMCONTACT</t>
  </si>
  <si>
    <t>FM CONTACT Center Support</t>
  </si>
  <si>
    <t>ACOMPANHAMENTO RL - DISPENSERS</t>
  </si>
  <si>
    <t>JJ</t>
  </si>
  <si>
    <t>JOHNSON &amp; JOHNSON</t>
  </si>
  <si>
    <t>G.MAIA</t>
  </si>
  <si>
    <t>GABRIEL MAIA</t>
  </si>
  <si>
    <t>EAOM</t>
  </si>
  <si>
    <t>OFICINA MECÂNICA AGULHAS</t>
  </si>
  <si>
    <t>7295451</t>
  </si>
  <si>
    <t>(PRJ)_EMPRÉSTIMO DE PTA TESOURA SEM OPERADOR - DIA 15/02 E 16/02</t>
  </si>
  <si>
    <t>7321652</t>
  </si>
  <si>
    <t>(PRJ)_CBRE C3502 REALIZAR REPARO NO GONGO DA VG-05, SINAL SONORO E CAMPAINHA NÃO ESTÁ AUDÍVEL, OBSERVAÇÃO: PROCURAR OS BOMBEIROS ALESSANDRO/CERQUEIRA, RAMAL 3143</t>
  </si>
  <si>
    <t>RCHAGAS1</t>
  </si>
  <si>
    <t>RAIMUNDO M. CHAGAS</t>
  </si>
  <si>
    <t>7321731</t>
  </si>
  <si>
    <t xml:space="preserve">(PRJ)_REALIZAR INSPEÇÃO DE POSSÍVEIS PONTOS DE DESCARTE DE RESÍDUOS DE LIMPEZA/ESPUMA NA LINHA DE ÁGUA PLUVIAL </t>
  </si>
  <si>
    <t>(PRJ)_REALIZAR INSPEÇÃO DE POSSÍVEIS PONTOS DE DESCARTE DE RESÍDUOS DE LIMPEZA/ESPUMA NA LINHA DE ÁGUA PLUVIAL - SAÍDA 05 E 06 NO LAGO, LINHA DA ÁREA DO NUNKI/PRÉDIO 24/39 - ÁREA DA ESCOLA DE ENFERMAGEM</t>
  </si>
  <si>
    <t>057-019</t>
  </si>
  <si>
    <t>ESTRUTURA PREDIAL DAS</t>
  </si>
  <si>
    <t>7321654</t>
  </si>
  <si>
    <t>(PRJ)_CBRE C3503 REALIZAR REPARO NO GONGO DA VG 06, REALIZADO TESTE NO 1º TRIMESTRE DE 2024</t>
  </si>
  <si>
    <t>(PRJ)_CBRE C3503 REALIZAR REPARO NO GONGO DA VG 06, REALIZADO TESTE NO 1º TRIMESTRE DE 2024, SON DA CAMPANA DO GONGO NÃO ESTÁ FUNCIONANDO. OBSERVAÇÃO: PROCURAR OS BOMBEIROS ALESSANDRO/CERQUEIRA, RAMAL 3143</t>
  </si>
  <si>
    <t>CFRANCO3</t>
  </si>
  <si>
    <t>75598216 - CLODOALDO RODRIGUES FRANCO</t>
  </si>
  <si>
    <t>0000008204-000000000-7680</t>
  </si>
  <si>
    <t>7166856</t>
  </si>
  <si>
    <t>(PRJ)_RECUPERAR PORTA DANIFICADA, TAMPAR FUROS E PINTAR (COM VARIOS FUROS PROXIMO AS DOBRADIÇAS)</t>
  </si>
  <si>
    <t>MOLIVE15</t>
  </si>
  <si>
    <t>MARCOS S. OLIVEIRA</t>
  </si>
  <si>
    <t>7151458</t>
  </si>
  <si>
    <t>(PRJ)_REPARO EM CAIXA DA TOMADA ELÉTRICA ATRÁS DA MESA DE ENCASTOAMENTO ESTÁ SOLTA</t>
  </si>
  <si>
    <t>(PRJ)_REPARO EM CAIXA DA TOMADA ELÉTRICA ATRÁS DA MESA DE ENCASTOAMENTO ESTÁ SOLTA, VERIFICAR POSSIBILIDADE DE INSTALAR MAIS TOMADAS P/EVITAR A UTILIZAÇÃO DE "T" (ADAPTADOR)</t>
  </si>
  <si>
    <t>EAMN</t>
  </si>
  <si>
    <t>AREA DE FABRICAÇÃO DE AGULHAS MICRONEEDLES</t>
  </si>
  <si>
    <t>1000013678-625133001-0000</t>
  </si>
  <si>
    <t>(PRJ)_PC553171791_P-1981 EMPRÉSTIMO DE PLATAFORMA (PTA Z45 ARTICULADA) PARA ATIVIDADE EM ÁREA EXTERNA NO DEPÓSITO DE MATÉRIA-PRIMA DO MAM DA MEDTECH – DIA 24JAN2024 (C/OPERADOR E VIGIA)</t>
  </si>
  <si>
    <t>EAWCM</t>
  </si>
  <si>
    <t>WC MASCULINO - Fáb.III - Lado da Copa</t>
  </si>
  <si>
    <t>7332321</t>
  </si>
  <si>
    <t>(PRJ)_CBRE C3535 DURANTE TESTES DE ACIONAMENTO, VERIFICOU-SE QUE O GONGO DA VG-32 NÃO ESTÁ ACIONANDO/TOCANDO</t>
  </si>
  <si>
    <t xml:space="preserve">(PRJ)_CBRE C3535 DURANTE TESTES DE ACIONAMENTO, VERIFICOU-SE QUE O GONGO DA VG-32 NÃO ESTÁ ACIONANDO/TOCANDO, REALIZAR REPARO NECESSÁRIO - P28 BAND AID - PREDIAL VISTA LATERAL DIREITA </t>
  </si>
  <si>
    <t>7332323</t>
  </si>
  <si>
    <t>(PRJ)_CBRE C3536 DURANTE TESTES DE ACIONAMENTO, VERIFICOU-SE QUE O GONGO DA VG-33 NÃO ESTÁ ACIONANDO/TOCANDO</t>
  </si>
  <si>
    <t xml:space="preserve">(PRJ)_CBRE C3536 DURANTE TESTES DE ACIONAMENTO, VERIFICOU-SE QUE O GONGO DA VG-33 NÃO ESTÁ ACIONANDO/TOCANDO, REALIZAR REPARO NECESSÁRIO - P28 BAND AID - PREDIAL VISTA LATERAL DIREITA </t>
  </si>
  <si>
    <t>7193527</t>
  </si>
  <si>
    <t>TROCA DO REGISTRO DE ÁGUA DO CHUVEIRO LAVA-OLHOS</t>
  </si>
  <si>
    <t>ESANTO57</t>
  </si>
  <si>
    <t>EDUARDO S.SANTOS</t>
  </si>
  <si>
    <t>7174488</t>
  </si>
  <si>
    <t>JJRC - PINTURA DANIFICADA NAS PERNAS DA BANCADA DOS MICROSCOPIOS</t>
  </si>
  <si>
    <t>ESEP</t>
  </si>
  <si>
    <t>SALA EPOXI</t>
  </si>
  <si>
    <t>7174840</t>
  </si>
  <si>
    <t>JJRC - PINTURA DE SUPORTE COM FERRUGEM, ATRAS DA BANCADA</t>
  </si>
  <si>
    <t>ESVR</t>
  </si>
  <si>
    <t>CELULA VICRYL RAPIDE - ACABAMENTO SUTURAS</t>
  </si>
  <si>
    <t>7174476</t>
  </si>
  <si>
    <t>JJRC - PINTURA - SELADORA HARAMURA OVER - Oxidação dos pés da máquina</t>
  </si>
  <si>
    <t>7174475</t>
  </si>
  <si>
    <t>JJRC - PINTURA - MESA HARAMURA OVER - Oxidação dos pés da mesa</t>
  </si>
  <si>
    <t>LMB</t>
  </si>
  <si>
    <t>LABORATÓRIO DE MICROBIOLOGIA - MEDICAL</t>
  </si>
  <si>
    <t>GMARTIN7</t>
  </si>
  <si>
    <t>GEZIANE MARTINS</t>
  </si>
  <si>
    <t>7173836</t>
  </si>
  <si>
    <t>JJRC - PINTURA DOS PÉS DA MESA DA SELOFOIL ( PERNAS DA MESA DA SAÍDA COM OXIDAÇÃO)</t>
  </si>
  <si>
    <t>7174874</t>
  </si>
  <si>
    <t>JJRC - PINTURA MELHORAR ASPECTO VISUAL DA GAVETA DO REPROCESSO</t>
  </si>
  <si>
    <t>7173833</t>
  </si>
  <si>
    <t>JJRC -  PINTURA DOS VIBRA-STOP DA BUDDY MACHINE E DAS PRATELEIRAS DA ENDO (OXIDADAS)</t>
  </si>
  <si>
    <t>7173826</t>
  </si>
  <si>
    <t>JJRC - PINTURA NA PARTE INTERNA DA MAQUINA (DANIFICADA)</t>
  </si>
  <si>
    <t>7174425</t>
  </si>
  <si>
    <t>JJRC - PINTURA - ELIMINAR FERRUGEM EMBAIXO DAS BANCADAS DE INOX DO BONEWAX MANUAL</t>
  </si>
  <si>
    <t>7175884</t>
  </si>
  <si>
    <t>JJRC - TROCA DE DUAS  CANALETAS (PONTO DE ELETRICA E REDE) DANIFICADA, COLADA COM FITA E RESÍDUOS DE COLA AMARELA</t>
  </si>
  <si>
    <t>JJRC - TROCA DE DUAS  CANALETAS (PONTO DE ELETRICA E REDE) DANIFICADA, COLADA COM FITA E RESÍDUOS DE COLA AMARELA
CC: 1000000547-625133001-0000</t>
  </si>
  <si>
    <t>KALVESDA</t>
  </si>
  <si>
    <t>KARINA ALVES DA CRUZ</t>
  </si>
  <si>
    <t>7176760</t>
  </si>
  <si>
    <t>(PRJ)_REALIZAR A PINTURA DO FILTRO PRENSA (ESTAÇÃO TRATAMENTO DE CROMO)</t>
  </si>
  <si>
    <t>RSANT131</t>
  </si>
  <si>
    <t>Santos, Renata [MEDBR]</t>
  </si>
  <si>
    <t>7176764</t>
  </si>
  <si>
    <t>(PRJ)_REALIZAR A IMPERMEABILIZAÇÃO DA CONTENÇÃO DA SALA ONDE SE LOCALIZA O TANQUE DE DIGESTÃO</t>
  </si>
  <si>
    <t>7177256</t>
  </si>
  <si>
    <t>(PRJ)_REALIZAR A PINTURA DA PORTA METÁLICA DANIFICADA DA MÁQUINA FAS01 (PAINÉL PNEUMÁTICO)</t>
  </si>
  <si>
    <t>ESEN</t>
  </si>
  <si>
    <t>ENCASTOAMENTO</t>
  </si>
  <si>
    <t>7178532</t>
  </si>
  <si>
    <t>(PRJ)_REALIZAR REPARO E PINTURA PARTE INFERIOR EXTERNA ESTUFA DE DENATURAÇÃO</t>
  </si>
  <si>
    <t>P-2018</t>
  </si>
  <si>
    <t>P-2018(FAST) - PINTURA PISO CENTRAL DE UTILIDADES</t>
  </si>
  <si>
    <t>7176051</t>
  </si>
  <si>
    <t>(PRJ)_(ORÇAR) JJRC - REALIZAR A PINTURA DA BANCADA DE ENCASTOAMENTO EPOXI (PONTOS DE OXIDAÇÃO)</t>
  </si>
  <si>
    <t>7181202</t>
  </si>
  <si>
    <t>(PRJ)_PINTAR PARAFUSOS ENFERRUJADOS NA PARTE EXTERNA DA SLITTER MACHINE E CROSS CUTTER - PROLENE MESH</t>
  </si>
  <si>
    <t>7181218</t>
  </si>
  <si>
    <t>(PRJ)_PIDM - EFETUAR INSPEÇÃO DIÁRIA, LIMPEZA E PREVENTIVA EM EQUIPAMENTOS DE AR-CONDICIONADO NA ÁREA DE PIDM – MAIO-2024</t>
  </si>
  <si>
    <t>ESGR</t>
  </si>
  <si>
    <t>GRAFICA (SALA)</t>
  </si>
  <si>
    <t>ESEM</t>
  </si>
  <si>
    <t>EMBALAGEM</t>
  </si>
  <si>
    <t>7183006</t>
  </si>
  <si>
    <t>(PRJ)_RETIRAR DISPENSER’s SANTHER E RETORNAR DISPENSER’s RL (FINALIZADO PERÍODO DE TESTE) – WC AGULHAS/SANPRO/RESTAURANTE – PROCURAR GABRIEL MAIA PARA ALINHAMENTO, DIA 02/ABRIL</t>
  </si>
  <si>
    <t>7181216</t>
  </si>
  <si>
    <t>(PRJ)_PIDM - EFETUAR INSPEÇÃO DIÁRIA, LIMPEZA E PREVENTIVA EM EQUIPAMENTOS DE AR-CONDICIONADO NA ÁREA DE PIDM – ABRIL-2024</t>
  </si>
  <si>
    <t>7370561</t>
  </si>
  <si>
    <t>(PRJ)_CBRE C3778 VERIFICAR O FUNCIONAMENTO DO GONGO DA VG-08 NECESSITA DE TROCA DE PEÇAS E REPARO, PRÉDIO - P01B/C - HIGIENE ORAL - DUTRA INTERNO A PAREDE, PORÉM VISTA PELO LADO EXTERNO/FR</t>
  </si>
  <si>
    <t>7370562</t>
  </si>
  <si>
    <t xml:space="preserve">(PRJ)_CBRE C3779 VERIFICAR O FUNCIONAMENTO DO GONGO DA VG-10 NECESSITA DE TROCA DE PEÇAS E REPARO, PRÉDIO - P01B/C - MAM QUÍMICOS </t>
  </si>
  <si>
    <t>(PRJ)_CBRE C3779 VERIFICAR O FUNCIONAMENTO DO GONGO DA VG-10 NECESSITA DE TROCA DE PEÇAS E REPARO, PRÉDIO - P01B/C - MAM QUÍMICOS - FACHADA DO PRÉDIO FUNDO INTERNO A PAREDE, PORÉM VISTA PELO LADO EXTERNO</t>
  </si>
  <si>
    <t>7370564</t>
  </si>
  <si>
    <t>(PRJ)_CBRE C3780 VERIFICAR O FUNCIONAMENTO DO GONGO DA VG-12 NECESSITA DE TROCA DE PEÇAS E REPARO, PRÉDIO – P04 SANPRO</t>
  </si>
  <si>
    <t>7370566</t>
  </si>
  <si>
    <t>(PRJ)_CBRE C3782 VERIFICAR O FUNCIONAMENTO DO GONGO DA VG-13A NECESSITA DE TROCA DE PEÇAS E REPARO, PRÉDIO – P01A/B MAM TOUCADOR II</t>
  </si>
  <si>
    <t>057-010-005</t>
  </si>
  <si>
    <t>DEPÓSITO DE HIGIENE ORAL</t>
  </si>
  <si>
    <t>7373364</t>
  </si>
  <si>
    <t>(PRJ)_CORRIGIR CONDUTOR DE ÁGUA DE CHUVA NO CORREDOR DE PASSAGEM DA LOJA DE EPI’s</t>
  </si>
  <si>
    <t>7373296</t>
  </si>
  <si>
    <t>(PRJ)_CBRE C3815 REALIZAR REPARO NO GONGO DA VG 37, ÁREA DO RPA - GONGO INOPERANTE</t>
  </si>
  <si>
    <t>7373301</t>
  </si>
  <si>
    <t>057-009-002-011-001-004</t>
  </si>
  <si>
    <t>FACHADA DOCAS 22 E 23</t>
  </si>
  <si>
    <t>7373302</t>
  </si>
  <si>
    <t>057-009-002-011-001-001</t>
  </si>
  <si>
    <t>FACHADA DOCAS 05 A 18</t>
  </si>
  <si>
    <t>7373306</t>
  </si>
  <si>
    <t>057-009-002-011-001-008</t>
  </si>
  <si>
    <t>FACHADA LATERAL (DEP. INFLAMÁVEIS)</t>
  </si>
  <si>
    <t>7370567</t>
  </si>
  <si>
    <t>(PRJ)_CBRE C3784 VERIFICAR O FUNCIONAMENTO DO GONGO DA VG-22 NECESSITA DE TROCA DE PEÇAS E REPARO, PRÉDIO – P4 SANPRO</t>
  </si>
  <si>
    <t>(PRJ)_RETIRAR DISPENSER’s SANTHER E RETORNAR DISPENSER’s RL (FINALIZADO PERÍODO DE TESTE) – WC AGULHAS/SANPRO/RESTAURANTE – PROCURAR GABRIEL MAIA PARA ALINHAMENTO, DIA 02/ABRIL
CC:1000000546-625133001-0000</t>
  </si>
  <si>
    <t>7182743</t>
  </si>
  <si>
    <t>(PRJ)_BOP_MAR - EFETUAR PINTURA NA BASE DAS PANELAS DAS STATICS - ACABAMENTO DRILL (PINTURA DE EQUIPAMENTO)</t>
  </si>
  <si>
    <t>7182915</t>
  </si>
  <si>
    <t>(PRJ)_BOP_MAR - SUBSTITUIR AS MANGUEIRAS DANIFICADAS DO EQUIPAMENTO, UNIDADE DE LAVAGEM, NA FÁBRICA DE AGULHAS</t>
  </si>
  <si>
    <t>7183106</t>
  </si>
  <si>
    <t>(PRJ)_BOP_MAR - EFETUAR A PINTURA TOTAL DAS PAREDES DOS VESTIÁRIOS MASCULINO E FEMININO</t>
  </si>
  <si>
    <t>7182870</t>
  </si>
  <si>
    <t>(PRJ)_MARCENARIA - BOP_MAR - RECUPERAR BANCADAS DE MADEIRA DE APOIO DAS BANDEJAS (SAE 01, 02 E 03) - CANAL 420</t>
  </si>
  <si>
    <t>7182614</t>
  </si>
  <si>
    <t>(PRJ)_REPARO EM ESTRUTURA DE MADEIRA DO CHÃO DO ARMÁRIO DE DOCUMENTO DANIFICADO, AVALIAR A POSSIBILIDADE DE INSTALAR CANTONEIRA P/REPARO E PROTEGER O "CHÃO" OU PINTURA DO LOCAL</t>
  </si>
  <si>
    <t>CEDOC</t>
  </si>
  <si>
    <t>CENTRO DE CONTROLE DE DOCUMENTAÇÃO</t>
  </si>
  <si>
    <t>7182593</t>
  </si>
  <si>
    <t>(PRJ)_BOP_MAR - INSTALAR MIOLO DE PROTEÇÃO DO ÁRMARIO DESLIZANTE, DEP.VAULT (R10) MAM DA MEDTECH</t>
  </si>
  <si>
    <t>7182595</t>
  </si>
  <si>
    <t>(PRJ)_BOP_MAR - INSTALAR LUZ/LUMINÁRIAS DE EMERGÊNCIA NO DEP.MATÉRIA-PRIMA DE ARAMES (R11) DO MAM DA MEDTECH</t>
  </si>
  <si>
    <t>R11</t>
  </si>
  <si>
    <t>Arames - Matéria-Prima - MAM MedTech</t>
  </si>
  <si>
    <t>7182648</t>
  </si>
  <si>
    <t>(PRJ)_BOP-MAR - ESTÁ FALTANDO IDENTIFICAÇÃO NA LINHA DE AR COMPRIMIDO, REALIZAR A PINTURA E CORREÇÃO NAS IDENTIFICAÇÕES</t>
  </si>
  <si>
    <t>7183078</t>
  </si>
  <si>
    <t>(PRJ)_FERRUGEM: CORRIGIR PINTURA E TRATAMENTO ANTI-CORROSIVO EM CUBA DA PIA, DIVISÓRIA DO TETO, CHUVEIRO LAVA OLHOS E CARRINHO DE BOMBONAS - LAB.QUÍMICO DA MEDTECH</t>
  </si>
  <si>
    <t>7182940</t>
  </si>
  <si>
    <t>(PRJ)_REALIZAR A PINTURA DE PAINÉIS ELÉTRICOS SALA DE COMPUTADORES - WET ROOM</t>
  </si>
  <si>
    <t>7176182</t>
  </si>
  <si>
    <t>(PRJ)_JJRC - REALIZAR A PINTURA DA PROTEÇÃO INFERIOR DA PRENSA CD12 (PONTOS DE OXIDAÇÃO)</t>
  </si>
  <si>
    <t>ESPR</t>
  </si>
  <si>
    <t>CELULA PROLENE - ACABAMENTO SUTURAS</t>
  </si>
  <si>
    <t>7185757</t>
  </si>
  <si>
    <t>(PRJ)_REALIZAR A PINTURA NO DHC COM FERRUGEM - PRIMEIRO FECHAMENTO (EQUIPAMENTO)</t>
  </si>
  <si>
    <t>7182108</t>
  </si>
  <si>
    <t xml:space="preserve">(PRJ)_FECHAMENTO DAS ABERTURAS DAS TUBULAÇÕES DE FIAÇÃO: EMBAIXO DO PACHANE 3 (VÁLVULA DE VÁCUO) SILICONIZAR / BANCADA DO MICROSCÓPIO </t>
  </si>
  <si>
    <t>(PRJ)_FECHAMENTO DAS ABERTURAS DAS TUBULAÇÕES DE FIAÇÃO: EMBAIXO DO PACHANE 3 (VÁLVULA DE VÁCUO) SILICONIZAR / BANCADA DO MICROSCÓPIO (PONTO DE REDE VITEK) TAMPA DE ELETRODUTO /- ATRÁS DA GELADEIRA 3 (TOMADA) TAMPA DE ELETRODUTO (LAB.MICROBIOLOGIA)</t>
  </si>
  <si>
    <t>7185796</t>
  </si>
  <si>
    <t>GEMBA_MAR/24_PINTURA PÉS  E PARAFUSOS RFM (OXIDADOS)</t>
  </si>
  <si>
    <t>7185798</t>
  </si>
  <si>
    <t>GEMBA_MAR_24_PINTURA DO PAINEL DA SELOVAC COM FERRUGEM</t>
  </si>
  <si>
    <t>7185800</t>
  </si>
  <si>
    <t>GEMBA_MAR/24_PINTURA NOS PÉS BUDDY MACHINE (ENDO)</t>
  </si>
  <si>
    <t>7185081</t>
  </si>
  <si>
    <t>(PRJ)_REALIZAR A PINTURA DOS EQUIPAMENTOS - KETT 2 E 3 - FABRICA II - ACABAMENTO DE SUTURAS</t>
  </si>
  <si>
    <t>7185797</t>
  </si>
  <si>
    <t>7186233</t>
  </si>
  <si>
    <t>(PRJ)_RETIRAR 1 MICROONDAS DO PRÉDIO DO B9 E LEVAR PARA A COPA DE AGULHAS (COPA DA PRODUÇÃO)</t>
  </si>
  <si>
    <t>7185808</t>
  </si>
  <si>
    <t>PINTURA CARRINHOS / RODINHAS COM FERRUGEM (SALÃO B)</t>
  </si>
  <si>
    <t>7186135</t>
  </si>
  <si>
    <t>(PRJ)_REALIZAR A INSTALAÇÃO DE NOVAS LÂMPADAS NA OFICINA DA PLANTA PILOTO</t>
  </si>
  <si>
    <t>057-008-057-002-001</t>
  </si>
  <si>
    <t>TBRITO7</t>
  </si>
  <si>
    <t>1006229 - THIAGO CESAR BRITO</t>
  </si>
  <si>
    <t>0000008741-000000000-7680</t>
  </si>
  <si>
    <t>7349904</t>
  </si>
  <si>
    <t>(PRJ)_BAND AID - SERVIÇOS DE READEQUAÇÃO SALA DE TREINAMENTO</t>
  </si>
  <si>
    <t>057-003-001-006</t>
  </si>
  <si>
    <t>SALA DE REUNIÕES</t>
  </si>
  <si>
    <t>7185747</t>
  </si>
  <si>
    <t>(PRJ)_REALIZAR A PINTURA/TRATAMENTO ANTI-CORROSIVO DO PÉ ENFERRUJADO DA BANCADA DE SELEÇÃO DE PRODUTO (ACAB.SUTURAS)</t>
  </si>
  <si>
    <t>(PRJ)_REALIZAR A PINTURA/TRATAMENTO ANTI-CORROSIVO DO PÉ ENFERRUJADO DA BANCADA DE SELEÇÃO DE PRODUTO (ACAB.SUTURAS)
CC: 1000000547-625133001-0000</t>
  </si>
  <si>
    <t>7402137</t>
  </si>
  <si>
    <t>(PRJ)_VD - REALIZAR A INSTALAÇÃO DE PONTOS DE TOMADAS 220V</t>
  </si>
  <si>
    <t>SAL-218</t>
  </si>
  <si>
    <t>PISO TÉCNICO FÁBRICA DE SÓLIDOS</t>
  </si>
  <si>
    <t>AOLIVE25</t>
  </si>
  <si>
    <t>ANDERSON OLIVEIRA DA CONCEIÇÃO</t>
  </si>
  <si>
    <t>7199979</t>
  </si>
  <si>
    <t>(PRJ)_INSTALAR SUPORTE PARA PENDURAR FACE SHIELD - FABRICAÇÃO DE AGULHAS - CANAL 420</t>
  </si>
  <si>
    <t>7182612</t>
  </si>
  <si>
    <t>(PRJ)_TROCAR RODIZIOS ENFERRUJADOS CARRINHOS DA CENTRAL DE SOLUÇÕES</t>
  </si>
  <si>
    <t>EFCS</t>
  </si>
  <si>
    <t>CENTRAL DE SOLUÇÕES OPERACIONAL - CATGUT</t>
  </si>
  <si>
    <t>7199995</t>
  </si>
  <si>
    <t>7195066</t>
  </si>
  <si>
    <t>(PRJ)_COLOCAR CANTONEIRAS NAS PAREDES DE ENTRADA DO VESTIÁRIO MASCULINO (OBSERVAÇÃO: PAREDE DANIFICADA)</t>
  </si>
  <si>
    <t>7200342</t>
  </si>
  <si>
    <t>(PRJ)_REALIZAR A INSTALAÇÃO DE CANTONEIRAS NAS QUINAS DAS PAREDES DA ÁREA ENCASTOAMENTO AUTOMÁTICO FAS</t>
  </si>
  <si>
    <t>7429388</t>
  </si>
  <si>
    <t>(PRJ)_REALIZAR PINTURA DE ÁREAS EXTERNAS E INTERNAS, BEM COMO DEMARCAÇÕES DE PISO NECESSÁRIAS</t>
  </si>
  <si>
    <t>7203036</t>
  </si>
  <si>
    <t>(PRJ)_FIXAR PUXADOR DA PORTA DE SAÍDA SALA DE SOLUÇÃO, PUXADOR SAIU E C/ISSO A PORTA FICA ABERTA,TRAVANDO A OUTRA PORTA DA SALA E SOLUÇÃO TF-24 (TROCAR MODELO DE PUXADOR)</t>
  </si>
  <si>
    <t>7183044</t>
  </si>
  <si>
    <t>(PRJ)_BOP_MAR - PINTURA E REPARO GERAL NO TETO - PINTURA E AJUSTE DE PLACAS DO FORRO - CORREDORES EM GERAL,  VESTIÁRIO MASCULINO E FEMININO E BANHEIROS FEMININO E MASCULINO</t>
  </si>
  <si>
    <t>7185147</t>
  </si>
  <si>
    <t>(PRJ)_GEMBA - RETIRAR SUPORTE DA PLACA EM DESUSO (PROXIMO A FAS)/ACABAMENTO DE SUTURAS</t>
  </si>
  <si>
    <t>7200557</t>
  </si>
  <si>
    <t>(PRJ)_INSTALAR 03 TOMADAS NO POSTO DO ENROLAMENTO MANUAL, TOMADA 2P+T ABNT, SENDO 02 TOMADAS DE 220V/ E 01 TOMADA 110V A CANALETA DUTOTEC JÁ EXISTE NA BANCADA INSTALADA, MODELO DE TOMADA CONFORME FOTO</t>
  </si>
  <si>
    <t>7201641</t>
  </si>
  <si>
    <t>(PRJ)_TRATAMENTO ANTICORROSIVO E PINTURA NA BASE DAS MESAS E ARMÁRIOS ENFERRUJADOS NO DEP.VAULT (R10) MAM MEDTECH</t>
  </si>
  <si>
    <t>7185168</t>
  </si>
  <si>
    <t>(PRJ)_FALTA PROTETOR DE QUINA DE PAREDE CÂMARA DE SECAGEM, INSTALAR EM TODAS AS QUINAS DA PAREDE CANTONEIRA BRANCA EM ALUMÍNIO</t>
  </si>
  <si>
    <t>7182169</t>
  </si>
  <si>
    <t>(PRJ)_REALIZAR A PINTURA, TINTA LASCADA/FERRUGEM ARMÁRIOS DE TIPS CORTE E APONTAMENTO</t>
  </si>
  <si>
    <t>7195166</t>
  </si>
  <si>
    <t>(PRJ)_TROCAR OS PARAFUSOS OXIDADOS E REALIZAR A PINTURA DO SUPORTE PERFEX OXIDADO NA FAS</t>
  </si>
  <si>
    <t>7195967</t>
  </si>
  <si>
    <t>(PRJ)_REALIZAR REPARO NA PINTURA DAS FOIL'S - TUBULAÇÃO, NO ACABAMENTO DE SUTURAS (PINTURA DE EQUIPAMENTO)</t>
  </si>
  <si>
    <t>7185225</t>
  </si>
  <si>
    <t>(PRJ)_REALIZAR A CORREÇÃO DE PISO DA RUA PRÓXIMO A CALÇADA DEP.QUÍMICOS 1, 2, 3 E INFLAMÁVEIS 2 DO MAM</t>
  </si>
  <si>
    <t>R06</t>
  </si>
  <si>
    <t>Depósito Quimico 1 - MAM MedTech</t>
  </si>
  <si>
    <t>7206737</t>
  </si>
  <si>
    <t>(PRJ)_ABRIR JANELA DE INSPEÇÃO NO FORRO DO ACABAMENTO OFTÁLMICA</t>
  </si>
  <si>
    <t>LINACIO</t>
  </si>
  <si>
    <t>LEONARDO JOSE INACIO</t>
  </si>
  <si>
    <t>7188134</t>
  </si>
  <si>
    <t>(PRJ)_REALIZAR A PINTURA DA PORTA ESTUFA DE SILICONIZAÇÃO (PINTURA DESCASCADA)</t>
  </si>
  <si>
    <t>7185702</t>
  </si>
  <si>
    <t>(PRJ)_REALIZAR A PINTURA DA PAREDE, ESTÁ SUJA, NA ÁREA DE RÓTULO, REQUER PINTURA TOTAL</t>
  </si>
  <si>
    <t>7185710</t>
  </si>
  <si>
    <t>(PRJ)_REALIZAR A PINTURA TOTAL, PONTOS DE FERRUGEM NO BODOLAY</t>
  </si>
  <si>
    <t>7186286</t>
  </si>
  <si>
    <t xml:space="preserve">(PRJ)_REFORMA E PINTURA GERAL DA SALA MICRONEEDLES - PRINCIPALMENTE ATRÁS DA SAEOF05 </t>
  </si>
  <si>
    <t>(PRJ)_REFORMA E PINTURA GERAL DA SALA MICRONEEDLES - PRINCIPALMENTE ATRÁS DA SAEOF05 (MANCHA DE PENTES QUE ENCOSTAM NA PAREDE) PAREDE DO CORREDOR (EM FRENTE A PORTA DE ACESSO A ÀREA) QUE ESTÁ COM MARCAS DE BATIDAS</t>
  </si>
  <si>
    <t>7188128</t>
  </si>
  <si>
    <t>(PRJ)_REALIZAR A PINTURA DO CARRINHO DE ARMAZENAGEM DOS TAMBORES (TAMBOREAMENTO)</t>
  </si>
  <si>
    <t>7187553</t>
  </si>
  <si>
    <t>(PRJ)_REFAZER TODA A PINTURA ANTIDERRAPANTE E ESTENDER PINTURA P/ÁREA DA CAPELA DE ALCOOL E ESTUFA DE SECAGEM</t>
  </si>
  <si>
    <t>6987237</t>
  </si>
  <si>
    <t>(PRJ)_CORRIGIR DEMARCAÇÃO DO QUADRO DE LOTO NO PISO - ACABAMENTO DRILL</t>
  </si>
  <si>
    <t>(PRJ)_REALIZAR A INSTALAÇÃO DE DUAS LUMINÁRIAS REDONDAS ACIMA DA PRENSA DE CORTE ROTATIVA BM1417 (APLICAR LUMINÁRIA LED)/NA ÁREA DA EMBALAGEM</t>
  </si>
  <si>
    <t>7203795</t>
  </si>
  <si>
    <t>(PRJ)_REALIZAR A PINTURA GERAL DO TETO/FORRO TOTAL DO BANHEIRO MASCULINO DE ACABAMENTO DE SUTURAS</t>
  </si>
  <si>
    <t>WCM</t>
  </si>
  <si>
    <t>WC MASCULINO - FAB.II</t>
  </si>
  <si>
    <t>7199028</t>
  </si>
  <si>
    <t>(PRJ)_REALIZAR A PINTURA TOTAL DAS PAREDES DANIFICADAS - ESTERILIZADOR #2 ETO/SEM DATA DE RESTRIÇÃO, EXECUTAR APÓS AS 14H</t>
  </si>
  <si>
    <t>R05</t>
  </si>
  <si>
    <t>Mezanino - MAM MedTech</t>
  </si>
  <si>
    <t>7201647</t>
  </si>
  <si>
    <t>(PRJ)_PINTURA NOS TRILHOS DO ARMÁRIO DESLIZANTE ENFERRUJADO DEP.VAULT (R10) MAM MEDTECH</t>
  </si>
  <si>
    <t>7201650</t>
  </si>
  <si>
    <t>(PRJ)_PINTURA LASCADA NO TRILHO METÁLICO ABAIXO DO TELHADO NO CORREDOR CENTRAL DEP. INFLAMÁVEIS 1 (R03) MAM MEDTECH</t>
  </si>
  <si>
    <t>R03</t>
  </si>
  <si>
    <t>Depósito de Inflamáveis (Recebimento) - MAM MedTech</t>
  </si>
  <si>
    <t>7185802</t>
  </si>
  <si>
    <t>(PRJ)_REPARO EM QUINA DA PAREDE SEM PROTEÇÃO E COM DUREX, INSTALAR CANTONEIRA - ENDO</t>
  </si>
  <si>
    <t>7200380</t>
  </si>
  <si>
    <t>(PRJ)_REALIZAR A REMOÇÃO DE COLA, PINTURA E TROCA DE BORRACHA DA BASE - DISPOSITIVO ENDO</t>
  </si>
  <si>
    <t>7185828</t>
  </si>
  <si>
    <t>(PRJ)_REALIZAR A PINTURA DE FAIXA BRANCA (CORREDOR) DE SUTURAS EM GERAL</t>
  </si>
  <si>
    <t>7420744</t>
  </si>
  <si>
    <t>(PRJ)_VM EHS&amp;S - REPARO EM GRELHA DA CANALETA DE DRENAGEM DO PISO QUEBRADA C/RISCO DE TORÇÃO E QUEDA CASA DE MAQUINA MERIDIAN (PRÉDIO DO BANDAID)</t>
  </si>
  <si>
    <t>7440089</t>
  </si>
  <si>
    <t>(PRJ)_VD - PORTA DA SUBESTAÇÃO 11 ENROSCANDO E SEM TRINCO - INSTALAR UMA NOVA FECHADURA NA PORTA</t>
  </si>
  <si>
    <t>057-020-002-011</t>
  </si>
  <si>
    <t>SUBESTAÇÃO  DE ENERGIA 11-PARTE INTERNA</t>
  </si>
  <si>
    <t>7416370</t>
  </si>
  <si>
    <t>(PRJ)_VD - REPARO EM CARRINHO DANIFICADO, CARRINHO P/CARGAS DE FERRAMENTAS E MATERIAIS C/APOIO DE MÃO DANIFICADO</t>
  </si>
  <si>
    <t>(PRJ)_VD - REPARO EM CARRINHO DANIFICADO, CARRINHO P/CARGAS DE FERRAMENTAS E MATERIAIS C/APOIO DE MÃO DANIFICADO,  NECESSARIO INSTALAR NOVO APOIO E INSTALAR PRESILHAS PARA AMARRAMENTO COMO MELHORIA (OFICINA DE UTILIDADES)</t>
  </si>
  <si>
    <t>ABASILI1</t>
  </si>
  <si>
    <t>AMANDA BASILIO CUNHA</t>
  </si>
  <si>
    <t>7429509</t>
  </si>
  <si>
    <t>(PRJ)_CBRE C4124 REPARO E ORGANIZAÇÃO DA FIAÇÃO ELÉTRICA DA SALA DO TRANSPORTE (PLATAFORMA DE ÔNIBUS</t>
  </si>
  <si>
    <t>(PRJ)_CBRE C4124 REPARO E ORGANIZAÇÃO DA FIAÇÃO ELÉTRICA DA SALA DO TRANSPORTE (PLATAFORMA DE ÔNIBUS), FAZER A TROCA DAS TOMADAS POR MODELOS ATUAIS (2P+T ABNT) AS EXISTENTES SÃO MODELOS ANTIGOS, NÃO SENDO COMPATÍVEIS COM ALGUNS APARELHOS</t>
  </si>
  <si>
    <t>7436500</t>
  </si>
  <si>
    <t>(PRJ)_VD - REALIZAR A MANUTENÇÃO BICICLETAS OPERAÇÃO DE UTILIDADES</t>
  </si>
  <si>
    <t>7393419</t>
  </si>
  <si>
    <t>(PRJ)_VGA-47 REPARO, C/VAZAMENTO NO DRENO DA VG E ESTÁ DISPARANDO O GONGO DIRETO, PRÓXIMO AO CHILLER DA CENTRAL 4/OFICINA DA CENTRAL DE UTILIDADES</t>
  </si>
  <si>
    <t>7393420</t>
  </si>
  <si>
    <t>(PRJ)_REPARO E VEDAÇÃO EM TAMPA DE PASSAGEM ELÉTRICA DE CONCRETO NA PASSARELA EM FRENTE A CENTRAL 2, VÃO ABERTO, RISCO DE ETQ</t>
  </si>
  <si>
    <t>MPRIANTE</t>
  </si>
  <si>
    <t>MARCIO AUGUSTO PRIANTE</t>
  </si>
  <si>
    <t>7182847</t>
  </si>
  <si>
    <t>(PRJ)_EFETUAR PINTURA NOS TUBOS QUADRADOS DE APOIO DAS TUNBULAÇÕES DA STRIP 01 - LASER</t>
  </si>
  <si>
    <t>7182740</t>
  </si>
  <si>
    <t>(PRJ)_EFETUAR PINTURA NAS TUBULAÇÕES DE AR COMPRIMIDO, AGUA, ELÉTRICA E EXAUSTÃO DAS STATICS ANODES - ACABAMENTO DRILL</t>
  </si>
  <si>
    <t>7211860</t>
  </si>
  <si>
    <t>7201540</t>
  </si>
  <si>
    <t>(PRJ)_RECUPERAR BANCADAS DANIFICADAS – PIDM/PINTURA GERAL DA ESTRUTURA, TROCA DE TAMPO, ATIVIDADE DE PINTURA E MARCENARIA</t>
  </si>
  <si>
    <t>7185804</t>
  </si>
  <si>
    <t>(PRJ)_REALIZAR A PINTURA TOTAL DA PAREDE DA CÂMARA - SALA CÂMARA DE SECAGEM</t>
  </si>
  <si>
    <t>7211954</t>
  </si>
  <si>
    <t xml:space="preserve"> INSTALAR VASSOURA NAS PORTAS DE SAÍDA DO VESTIÁRIO FEMININO E NAS DUAS PORTAS DE ENTRADA/SAÍDA ASSEPSIA FEMININO (VESTIÁRIO FEMININO DO ACABAMENTO DE SUTURAS)</t>
  </si>
  <si>
    <t xml:space="preserve"> INSTALAR VASSOURA NAS PORTAS DE SAÍDA DO VESTIÁRIO FEMININO E NAS DUAS PORTAS DE ENTRADA/SAÍDA ASSEPSIA FEMININO (VESTIÁRIO FEMININO DO ACABAMENTO DE SUTURAS)
CC:1000000547-625133001-0000</t>
  </si>
  <si>
    <t>VEF</t>
  </si>
  <si>
    <t>VESTIARIO FEMININO - FAB.II</t>
  </si>
  <si>
    <t>7211949</t>
  </si>
  <si>
    <t>(PRJ)_BOP_MAI - VEDAR FUROS EXPOSTOS, ATRÁS DO SUPORTE DE GORROS E MÁSCARAS, RETIRAR SUPORTE, VEDAR FUROS, PINTAR E FIXAR NOVAMENTE SUPORTE</t>
  </si>
  <si>
    <t>VEDAR FUROS EXPOSTOS, ATRÁS DO SUPORTE DE GORROS E MÁSCARAS, RETIRAR SUPORTE, VEDAR FUROS, PINTAR E FIXAR NOVAMENTE SUPORTE
CC:1000000547-625133001-0000</t>
  </si>
  <si>
    <t>7212594</t>
  </si>
  <si>
    <t>(PRJ)_RETIRAR DISPLAY NA PAREDE E REALIZAR A MANUTENÇÃO NA PAREDE, TAMPAR FUROS E PINTURA (BANCADA DE SELEÇÃO ATRÁS DA MÁQUINA MAS 01)</t>
  </si>
  <si>
    <t>RETIRAR DISPLAY NA PAREDE E REALIZAR A MANUTENÇÃO NA PAREDE, TAMPAR FUROS E PINTURA (BANCADA DE SELEÇÃO ATRÁS DA MÁQUINA MAS 01)
CC:1000000547-625133001-0000</t>
  </si>
  <si>
    <t>REALIZAR A TROCA DO REGISTRO DE ÁGUA DO CHUVEIRO LAVA-OLHOS - FIOS TEXTEIS/REGISTRO ESTÁ OXIDADO</t>
  </si>
  <si>
    <t>REALIZAR A TROCA DO REGISTRO DE ÁGUA DO CHUVEIRO LAVA-OLHOS - FIOS TEXTEIS/REGISTRO ESTÁ OXIDADO
CC: 1000000545-625133001-0000</t>
  </si>
  <si>
    <t>7212871</t>
  </si>
  <si>
    <t>(PRJ)_BOP_MAI - REALIZAR A MANUTENÇÃO NOS PÉS DA MESA DANIFICADOS, FIOS TÊXTEIS INTERNO</t>
  </si>
  <si>
    <t>7212996</t>
  </si>
  <si>
    <t>(PRJ)_BOP_MAI - RETIRAR DISPLAYS NA PAREDE E REALIZAR MANUTENÇÃO PAREDE (BANCADAS FIOS TEXTEIS EXTERNO - BCN1 BCN2, DISPLAYS EM CIMA DA BALANÇA, DISPLAY LEXAN DA MÁQUINA BOBINADEIRA FIOS)</t>
  </si>
  <si>
    <t>7215246</t>
  </si>
  <si>
    <t>(PRJ)_REALIZAR A INSPEÇÃO GERAL NOS FORROS DE AGULHAS, NOS LOCAIS ONDE POSSA CONTER RESÍDUOS DE OBRA QUE GERE INCIDENTES, APÓS A INSPEÇÃO E MAPEAMENTO, REALIZAR A ABERTURA E RETIRADA DOS RESÍDUOS</t>
  </si>
  <si>
    <t>7215308</t>
  </si>
  <si>
    <t>PRJ_COLOCAR VASSOURAS NAS PORTAS DE EMERGÊNCIAS FAS 01</t>
  </si>
  <si>
    <t>7215313</t>
  </si>
  <si>
    <t>PRJ_VEDAÇÃO CANALETA ELÉTRICA - PRÓXIMO A DIVISÓRIA FAS E CANALETA ELÉTRICA COLUNA SAW MACHINE 05</t>
  </si>
  <si>
    <t>7212589</t>
  </si>
  <si>
    <t>(PRJ)_BOP_MAI - ORGANIZAR CABOS SOLTOS NO CHÃO, SETOR EPOXI - ACABAMENTO DE SUTURAS</t>
  </si>
  <si>
    <t>7212593</t>
  </si>
  <si>
    <t>(PRJ)_INSTALAR VASSOURA DE VEDAÇÃO NA PORTA DE EMERGÊNCIA NA FAS 04 - ENCASTOAMENTO</t>
  </si>
  <si>
    <t>7212590</t>
  </si>
  <si>
    <t>(PRJ)_REALIZAR A PINTURA NA PAREDE E TETO DO SETOR EPOXI (PINTURA TOTAL) - ACABAMENTO DE SUTURAS</t>
  </si>
  <si>
    <t>7212598</t>
  </si>
  <si>
    <t>PRJ_BOP_MAIO/24_PINTURA DA CANALETA ELETRICA NAS 10 SAW MACHINES (JUNÇÃO COM O TETO)</t>
  </si>
  <si>
    <t>ESMX</t>
  </si>
  <si>
    <t>CELULA MIX - ACABAMENTO SUTURAS</t>
  </si>
  <si>
    <t>7212583</t>
  </si>
  <si>
    <t>(PRJ)_INSTALAR VASSOURAS DE VEDAÇÃO NA PORTA DE ASSEPSIA VISITANTES - ENTRADA DE SUTURAS</t>
  </si>
  <si>
    <t>7215248</t>
  </si>
  <si>
    <t xml:space="preserve">(PRJ)_INSTALAR TOMADAS ABNT 2P+T P/EQUIPAMENTO DA PURIFIKAR (AREJADOR DE AMBIENTE) NOS WC’s DO ITS </t>
  </si>
  <si>
    <t>(PRJ)_INSTALAR TOMADAS ABNT 2P+T P/EQUIPAMENTO DA PURIFIKAR (AREJADOR DE AMBIENTE) NOS WC’s DO ITS - WC MASC/FEM DO NCS/ÁREA N1: 01 TOMADA POR WC//WC FEM DA N3: 01 TOMADA NO WC FEM//WC MASC/FEM DA N5: 01 TOMADA POR WC</t>
  </si>
  <si>
    <t>7213006</t>
  </si>
  <si>
    <t>(PRJ)_INSTALAR CANTONEIRA NA QUINA DA PAREDE DA SALA DA ALSCO (AO LADO DA SALA DA MANSERV - ADM)</t>
  </si>
  <si>
    <t>7212437</t>
  </si>
  <si>
    <t>PRJ_BOP_MAIO/24_ COLOCAR VASSOURA NAS PORTAS DE ENTRADA/SAÍDA DA ASSEPSIA VISITANTE.</t>
  </si>
  <si>
    <t>7211963</t>
  </si>
  <si>
    <t>PRJ_BOP_MAIO/24_PINTURA DA CANALETA - VESTIÁRIO MASCULINO (ATRÁS DAS LIXEIRAS)</t>
  </si>
  <si>
    <t>7212436</t>
  </si>
  <si>
    <t>PRJ_BOP_MAIO/24_ FIXAR FIO DA ARMADILHA ATÓXICA ATRAVÉS DA  CANALETA NA ASSEPSIA VISITANTES. FIO PASSANDO POR DENTRO DO FORRO</t>
  </si>
  <si>
    <t>P-306112</t>
  </si>
  <si>
    <t>PINTURA DE PORTAS DA DOCA DE EXPEDIÇÃO - ÁREA DE EXPORTAÇÃO - OEA - CD GUARULHOS</t>
  </si>
  <si>
    <t>P-306112 - PINTURA DE PORTAS DA DOCA DE EXPEDIÇÃO - ÁREA DE EXPORTAÇÃO - OEA - CD GUARULHOS</t>
  </si>
  <si>
    <t>P-2009</t>
  </si>
  <si>
    <t>P-2009(FAST)-Fornecimento mão de obra eletricista 40 dias</t>
  </si>
  <si>
    <t>7216447</t>
  </si>
  <si>
    <t>(PRJ)_REALIZAR REPARO EM VAZAMENTO DE ÁGUA NO CORPO DA VG-45</t>
  </si>
  <si>
    <t>(PRJ)_REALIZAR REPARO EM VAZAMENTO DE ÁGUA NO CORPO DA VG-45
cc:1000000548-625133001-0000</t>
  </si>
  <si>
    <t>NOC.306.121</t>
  </si>
  <si>
    <t>ACOMPANHAMENTO RL - DISPENSERS 
23/05/2024</t>
  </si>
  <si>
    <t>(PRJ)_SUBSTITUIR A FITA DE LED DANIFICADA (PISCANDO) NO CORREDOR INFERIOR DE ESCRITÓRIOS, ÁREA DE REUNIÕES/DAILY DE AGULHAS</t>
  </si>
  <si>
    <t>(PRJ)_SUBSTITUIR A FITA DE LED DANIFICADA (PISCANDO) NO CORREDOR INFERIOR DE ESCRITÓRIOS, ÁREA DE REUNIÕES/DAILY DE AGULHAS
cc:1000000546-625133001</t>
  </si>
  <si>
    <t>7217302</t>
  </si>
  <si>
    <t>(PRJ)_INSTALAR REFLETOR LED C/SENSOR DE PRESENÇA NA ÁREA EXTERNA DA PORTA DE EMERGENCIA FB/FÁBRICA IV</t>
  </si>
  <si>
    <t>(PRJ)_INSTALAR REFLETOR LED C/SENSOR DE PRESENÇA NA ÁREA EXTERNA DA PORTA DE EMERGENCIA FB/FÁBRICA IV
CC:1000011658-625133001-0000</t>
  </si>
  <si>
    <t>7217301</t>
  </si>
  <si>
    <t>(PRJ)_INSTALAR REFLETOR LED C/SENSOR DE PRESENÇA NA ÁREA EXTERNA DA PORTA DE EMERGENCIA DA ÁREA DE CORTE/FÁBRICA IV</t>
  </si>
  <si>
    <t>(PRJ)_INSTALAR REFLETOR LED C/SENSOR DE PRESENÇA NA ÁREA EXTERNA DA PORTA DE EMERGENCIA DA ÁREA DE CORTE/FÁBRICA IV
cc:1000011658-625133001-0000</t>
  </si>
  <si>
    <t>7217860</t>
  </si>
  <si>
    <t>(PRJ)_EHS&amp;S - CCZ (ZOONOSES/INSP.PMSJC - DENGUE) - RETIRAR ÁGUA ACUMULADA NOS CONDUTORES NO ENTORNO DA ÁREA DE EMBALAGEM, ALINHAR OS MESMOS DE MANEIRA QUE NÃO ACUMULE ÁGUA (VIDE FOTO)</t>
  </si>
  <si>
    <t>(PRJ)_EHS&amp;S - CCZ (ZOONOSES/INSP.PMSJC - DENGUE) - RETIRAR ÁGUA ACUMULADA NOS CONDUTORES NO ENTORNO DA ÁREA DE EMBALAGEM, ALINHAR OS MESMOS DE MANEIRA QUE NÃO ACUMULE ÁGUA (VIDE FOTO)
cc:1000000547-625133001-0000</t>
  </si>
  <si>
    <t>7217861</t>
  </si>
  <si>
    <t>(PRJ)_REALIZAR A TROCA DE TODAS AS LÂMPADAS DA FACHADA EXTERNA DA FÁBRICA IV P/LUZ BRANCA/LED</t>
  </si>
  <si>
    <t>7217303</t>
  </si>
  <si>
    <t>(PRJ)_INSTALAR REFLETOR LED C/SENSOR DE PRESENÇA NA ÁREA EXTERNA DA PORTA DE EMERGENCIA EM FRENTE A R11/FÁBRICA IV</t>
  </si>
  <si>
    <t>7216530</t>
  </si>
  <si>
    <t>(PRJ)_REALIZAR A VEDAÇÃO ENTRE AS PAREDES E CANALETAS (GERAL)/FÁBRICA II - ACABAMENTO DE SUTURAS/SALÃO "B"</t>
  </si>
  <si>
    <t>7216529</t>
  </si>
  <si>
    <t>(PRJ)_PSM - REALIZAR A ORGANIZAÇÃO DOS FIOS DE SUTURAS – SALÃO “B”</t>
  </si>
  <si>
    <t>7216520</t>
  </si>
  <si>
    <t>(PRJ)_REALIZAR A PINTURA TOTAL DA PAREDE DA SALA DOS FACILITADORES, ACABAMENTO DE SUTURAS</t>
  </si>
  <si>
    <t>ESSG2</t>
  </si>
  <si>
    <t>SALA DA GERENCIA (ADMNISTRAÇÃO FABRICA II)</t>
  </si>
  <si>
    <t>7215311</t>
  </si>
  <si>
    <t>(PRJ)_REALIZAR A VEDAÇÃO DA CANALETA ELÉTRICA NA SAW MACHINE 07</t>
  </si>
  <si>
    <t>7211955</t>
  </si>
  <si>
    <t>(PRJ)_INSTALAR VASSOURINHA DE VEDAÇÃO NA PARTE INTERNA DA PORTA DO VESTIÁRIO MASCULINO E NA PORTA DE SAÍDA DA ASSEPSIA MASCULINO/VESTIÁRIO MASCULINO</t>
  </si>
  <si>
    <t>7217866</t>
  </si>
  <si>
    <t>(PRJ)_PR**/PC** - P-2088 APOIO C/PTA TESOURA C/OPERADOR E VIGIA NA FÁBRICA IV, PARA SUPORTE A EMPRESA JRM A INSPEÇÃO EM PONTE ROLANTE, DIA 03/jun DAS 08h – 17h</t>
  </si>
  <si>
    <t>7218951</t>
  </si>
  <si>
    <t>7470936</t>
  </si>
  <si>
    <t>(PRJ)_FINALIZAR REPARO NAS CAIXAS DE CONCRETO DEP.MAM DA DINDA C/PTA ARTICULADA, RETIRAR CAIXOTES DE MADEIRA</t>
  </si>
  <si>
    <t>7217249</t>
  </si>
  <si>
    <t>7384790</t>
  </si>
  <si>
    <t>057-019-009</t>
  </si>
  <si>
    <t>ESTACIONAMENTO EXTERNO</t>
  </si>
  <si>
    <t>0000008201-000000000-7680</t>
  </si>
  <si>
    <t>7219751</t>
  </si>
  <si>
    <t>(PRJ)_EFETUAR A LIMPEZA EM TODAS AS GRELHAS DE INSUFLAMENTO E EXAUSTÃO DE AR-CONDICIONADO - ETHALOY (FÁBRICA DE AGULHAS)</t>
  </si>
  <si>
    <t>(PRJ)_REALIZAR A INSTALAÇÃO DE LUMINÁRIAS NA ÁREA DE CORTE APONTAMENTO E ENDIREITADOR/FÁBRICA IV</t>
  </si>
  <si>
    <t>CPSA</t>
  </si>
  <si>
    <t>CENTRAL DE SOLUÇÕES - AGULHAS</t>
  </si>
  <si>
    <t>(PRJ)_EFETUAR A PINTURA NO CARRINHO DE TRANSPORTE DA ESTAMPAGEM - CANAL 420 (AGULHAS)</t>
  </si>
  <si>
    <t>(PRJ)_REPARO EM VAZAMENTO DE TINTA E ÁGUA PELO SPRINKLER, ÁREA FURAÇÃO A LASER
*(APENAS AREA PARADA)*</t>
  </si>
  <si>
    <t>7188782</t>
  </si>
  <si>
    <t>7219781</t>
  </si>
  <si>
    <t>7482314</t>
  </si>
  <si>
    <t>(PRJ)_REPARO EM SIRENE DE EMERGENCIA PRÓXIMO A OFICINA DE MANUTENÇÃO NO CRR, O SINAL DELA ESTÁ BAIXO, SE NECESSÁRIO REALIZAR A TROCA POR UMA MAIS AUDÍVEL, APÓS CONCLUIR A TROCA OU MANUTENÇÃO ACIONAR E</t>
  </si>
  <si>
    <t>(PRJ)_REPARO EM SIRENE DE EMERGENCIA PRÓXIMO A OFICINA DE MANUTENÇÃO NO CRR, O SINAL DELA ESTÁ BAIXO, SE NECESSÁRIO REALIZAR A TROCA POR UMA MAIS AUDÍVEL, APÓS CONCLUIR A TROCA OU MANUTENÇÃO ACIONAR EQUIPE DE BOMBEIROS PARA REALIZAR NOVO TESTE
cc:0000008322-000000000-7680</t>
  </si>
  <si>
    <t>7218933</t>
  </si>
  <si>
    <t>(PRJ)_ARAMES - REPARAR A FITA DE LED CAINDO HALL DE ENTRADA</t>
  </si>
  <si>
    <t>(PRJ)_ARAMES - REPARAR A FITA DE LED CAINDO HALL DE ENTRADA
cc:1000011658-625133001-0000</t>
  </si>
  <si>
    <t>7219771</t>
  </si>
  <si>
    <t>(PRJ)_SUBSTITUIR AS PORTAS DO GABINETE DA PIA NA CENTRAL DE SOLUÇÕES (VERIFICAR DEMANDA NO LOCAL, SE FOR MARCENARIA, RETORNAR P/SUBCONTRATAÇÃO)</t>
  </si>
  <si>
    <t>7219763</t>
  </si>
  <si>
    <t>(PRJ)_REALIZAR A PINTURA NAS CONTEÇÕES DA CENTRAL DE SOLUÇÕES – FÁBRICA DE AGULHAS</t>
  </si>
  <si>
    <t>FCARFE01</t>
  </si>
  <si>
    <t>FELIPE CARFERO</t>
  </si>
  <si>
    <t>7220276</t>
  </si>
  <si>
    <t>DENNIS GUERRA FIUZA</t>
  </si>
  <si>
    <t>7223361</t>
  </si>
  <si>
    <t>(PRJ)_CBRE C10365755 PINTURA TOTAL DA PAREDE VERMELHA EXTERNA DO AUDITÓRIO EM FRENTE A COPA, NO PRÉDIO DO B9/ITS</t>
  </si>
  <si>
    <t>7223325</t>
  </si>
  <si>
    <t>PRJ_CBRE C10365756 PINTAR O RODAPÉ BRANCO ABAIXO DA PAREDE VERMELHA EXTERNA AUDITÓRIO LADO COPA SJC-MEDTECH-MEDICAL (INDUSTRIAL) PRÉDIO 09  COPA CORREDOR ENTRE A COPA E O AUDITÓRIO</t>
  </si>
  <si>
    <t>PRJ_CBRE C10365756 PINTAR O RODAPÉ BRANCO ABAIXO DA PAREDE VERMELHA EXTERNA AUDITÓRIO LADO COPA SJC-MEDTECH-MEDICAL (INDUSTRIAL) PRÉDIO 09 COPA CORREDOR ENTRE A COPA E O AUDITÓRIO</t>
  </si>
  <si>
    <t>7222984</t>
  </si>
  <si>
    <t>(PRJ)_CBRE C10365743 REALIZAR A PINTURA TOTAL DA PAREDE VERMELHA ENTRE AUDITÓRIO E RECEPÇÃO PRINCIPAL NO PRÉDIO B9</t>
  </si>
  <si>
    <t>7222990</t>
  </si>
  <si>
    <t>(PRJ)_CBRE C10365744 REALIZAR A PINTURA TOTAL DO RODAPÉ ABAIXO DA PAREDE VERMELHA ENTRE AUDITÓRIO E RECEPÇÃO PRINCIPAL NO PRÉDIO DO B9</t>
  </si>
  <si>
    <t>(PRJ)_REALIZAR A LIMPEZA DUTOS HVAC - LAB QUÍMICO (KENVUE OTC)</t>
  </si>
  <si>
    <t>7221270</t>
  </si>
  <si>
    <t>(PRJ)_REALIZAR A PINTURA DE TODAS AS GRADE DE CONTENÇÃO DANIFICADAS, NO DEP.INFLAMÁVEIS 2 (R04) MAM MEDTECH</t>
  </si>
  <si>
    <t>7220101</t>
  </si>
  <si>
    <t>(PRJ)_RECUPERAR PINTURA DA BANCADA DANIFICADA DO COMPUTADOR - INDEX</t>
  </si>
  <si>
    <t>EAID</t>
  </si>
  <si>
    <t>FABRICAÇÃO DE AGULHAS INDEX</t>
  </si>
  <si>
    <t>7219099</t>
  </si>
  <si>
    <t>(PRJ)_FÁB.ARAMES - REMOVER FERRUGEM E REALIZAR A PINTURA TOTAL DOS ARMÁRIOS DE TIPS CORTE E APONTAMENTO</t>
  </si>
  <si>
    <t>EAARP</t>
  </si>
  <si>
    <t>RAMPA DE PROD. QUIMICOS - ACABAMENTO DE AGULHAS</t>
  </si>
  <si>
    <t>7497040</t>
  </si>
  <si>
    <t>(PRJ)_VM - GAIOLA DE PROTEÇÃO DO HIDRÔMETRO DE VAPOR ETO QUEBRADA/REALIZAR REPARO</t>
  </si>
  <si>
    <t>(PRJ)_VM - GAIOLA DE PROTEÇÃO DO HIDRÔMETRO DE VAPOR ETO QUEBRADA/REALIZAR REPARO
cc:0000008257-000000000-7680</t>
  </si>
  <si>
    <t>7228710</t>
  </si>
  <si>
    <t>(PRJ)_EHS&amp;S - INSTALAR TRAVA NA PORTA DE ENTRADA DA OFICINA DE MANUTENÇÃO (FAZENDINHA) EM SITUAÇÕES DE EMERGÊNCIA, A PORTA NÃO SE MANTÉM ABERTA (INSTALAR TRAVA PORTAS NO SOLO)</t>
  </si>
  <si>
    <t>(PRJ)_EHS&amp;S - INSTALAR TRAVA NA PORTA DE ENTRADA DA OFICINA DE MANUTENÇÃO (FAZENDINHA) EM SITUAÇÕES DE EMERGÊNCIA, A PORTA NÃO SE MANTÉM ABERTA (INSTALAR TRAVA PORTAS NO SOLO)
CC:1000000514-625133001-0000</t>
  </si>
  <si>
    <t>7499001</t>
  </si>
  <si>
    <t>(PRJ)_REALIZAR A RETIRADA DOS CABOS DE ALIMENTAÇÃO DO AR CONDICIONADO DESATIVADO NA FRENTE DA CENTRAL 2 E RETIRAR ALIMENTAÇÃO DA PLACA PRÓXIMO AO RESTAURANTE P/DESATIVAR EQUIPAMENTO/PLACA</t>
  </si>
  <si>
    <t>(PRJ)_REALIZAR A RETIRADA DOS CABOS DE ALIMENTAÇÃO DO AR CONDICIONADO DESATIVADO NA FRENTE DA CENTRAL 2 E RETIRAR ALIMENTAÇÃO DA PLACA PRÓXIMO AO RESTAURANTE P/DESATIVAR EQUIPAMENTO/PLACA
CC:0000008201-000000000-7680</t>
  </si>
  <si>
    <t>057-012-000</t>
  </si>
  <si>
    <t>ESTRUTURA PREDIAL CENTRAL II</t>
  </si>
  <si>
    <t xml:space="preserve">(PRJ)_BOP_AGO - REALIZAR A ORGANIZAR DE CABOS ELÉTRICOS E FIOS, ÁREA INTERNA FIOS TEXTEIS
PLANEJADA    (*08/07/2024*) </t>
  </si>
  <si>
    <t>(PRJ)_(AG.DETALHES) - NECESSÁRIO INSTALAR TOMADA P/CARREGAMENTO DO CARRINHO ELÉTRICO - OVER
CC: 1000000547-625133001-0000
(*EXECUTAR DIAS 08 E 09 /JULHO*)</t>
  </si>
  <si>
    <t>(PRJ)_VD - REALIZAR A INSTALAÇÃO DE PONTOS DE TOMADAS 220V
PISO TÉCNICO FÁBRICA DE SÓLIDOS
CC: 0000008937-6251330103-7680-BR12</t>
  </si>
  <si>
    <t>(PRJ)_PINTURA NOS TRILHOS DO ARMÁRIO DESLIZANTE ENFERRUJADO DEP.VAULT (R10) MAM MEDTECH
(*AGUARDANDO VISTORIA MICRO-BIOLOGIA PARA LIBERAR A PINTURA*)</t>
  </si>
  <si>
    <t>(PRJ)_FÁB.ARAMES - REMOVER FERRUGEM E REALIZAR A PINTURA TOTAL DOS ARMÁRIOS DE TIPS CORTE E APONTAMENTO
(*PROGRAMADO PARA 29/06- CARLOS PINTOR)</t>
  </si>
  <si>
    <t>7495536</t>
  </si>
  <si>
    <t>(PRJ)_CBRE C4549 EFETUAR A SOLDA DO SUPORTE DO MOTOR DA CANCELA 4, TIME DA PROTECK IRÁ LEVAR A PEÇA NA OFICINA PARA EFETUAR SOLDA NA OFICINA</t>
  </si>
  <si>
    <t>7495534</t>
  </si>
  <si>
    <t>(PRJ)_INSTALAR BATE RODAS NA PRIMEIRA VAGA DO ESTACIONAMENTO DA CENTRAL 4 (BATE RODAS TOTAL NA VAGA)/JORGE CIENTE DO LOCAL, UTILIZAR BATE RODAS DA PLATAFORMA DE ÔNIBUS,</t>
  </si>
  <si>
    <t>(PRJ)_INSTALAR BATE RODAS NA PRIMEIRA VAGA DO ESTACIONAMENTO DA CENTRAL 4 (BATE RODAS TOTAL NA VAGA)/JORGE CIENTE DO LOCAL, UTILIZAR BATE RODAS DA PLATAFORMA DE ÔNIBUS, AINDA RESTANTE NO CMP 1 UNIDADE</t>
  </si>
  <si>
    <t>0000008243</t>
  </si>
  <si>
    <t>7230794</t>
  </si>
  <si>
    <t>PRJ_BOP_ABR/24_CABO DE REDE SOLTO NO CHÃO FIOS TEXTEIS INTERNO</t>
  </si>
  <si>
    <t>PRJ_BOP_ABR/24_CABO DE REDE SOLTO NO CHÃO FIOS TEXTEIS INTERNO
(PROGRAMADO P/ 08 E 09 JULHO)</t>
  </si>
  <si>
    <t>7228612</t>
  </si>
  <si>
    <t>7229842</t>
  </si>
  <si>
    <t>organizar fios expostos na área acabamento catgut/bonewax, em computadores e calhas expostas.</t>
  </si>
  <si>
    <t>organizar fios expostos na área acabamento catgut/bonewax, em computadores e calhas expostas.
(PROGRAMADO P/ 22/06/24)</t>
  </si>
  <si>
    <t>(PRJ)_REALIZAR ORGANIZAÇÃO E REPARO EM CABOS DE REDE SOLTOS NO CHÃO FIOS TEXTEIS INTERNO/GLOVER BOX 1 - KETT 3 (PROCURAR KARINA ALVES NA ÁREA)</t>
  </si>
  <si>
    <t>7233491</t>
  </si>
  <si>
    <t>(PRJ)_FIXAR  EXTINTOR NA COLUNA DA COPA DE AGULHAS</t>
  </si>
  <si>
    <t>(PRJ)_FIXAR  EXTINTOR NA COLUNA DA COPA DE AGULHAS
CC?1000000546-625133001-0000</t>
  </si>
  <si>
    <t>7506266</t>
  </si>
  <si>
    <t>(PRJ)_RETIRADA DE PAPÉIS E MATERIAIS A SEREM DESCARTADOS DA CENTRAL 1, ALINHAR COM A THAIS, SÍNDICA DA CENTRAL 4 OS MATERIAIS E SALAS QUE SERÃO RETIRADOS E DESTINAÇÃO DOS RESÍDUOS</t>
  </si>
  <si>
    <t>(PRJ)_RETIRADA DE PAPÉIS E MATERIAIS A SEREM DESCARTADOS DA CENTRAL 1, ALINHAR COM A THAIS, SÍNDICA DA CENTRAL 4 OS MATERIAIS E SALAS QUE SERÃO RETIRADOS E DESTINAÇÃO DOS RESÍDUOS
CC:0000008642-000000000-7680</t>
  </si>
  <si>
    <t>057-011-001</t>
  </si>
  <si>
    <t>ESCADA DE ACESSO A CENTRAL I</t>
  </si>
  <si>
    <t>7504994</t>
  </si>
  <si>
    <t>(PRJ)_MANSERV+DSJ (Caminhão H²O) REALIZAR TROCA DA GAXETA DA VPI-96, VÁLVULA FICA LOCALIZADA EM FRENTE A CASA DE BOMBAS DE INCÊNDIO (Caminhão Pipa + NR-33)/REALIZAR JUNTO A TROCA DA VÁLVULA DO HIDRANT</t>
  </si>
  <si>
    <t>(PRJ)_MANSERV+DSJ (Caminhão H²O) REALIZAR TROCA DA GAXETA DA VPI-96, VÁLVULA FICA LOCALIZADA EM FRENTE A CASA DE BOMBAS DE INCÊNDIO (Caminhão Pipa + NR-33)/REALIZAR JUNTO A TROCA DA VÁLVULA DO HIDRANTE Nº H-44 DA MEDTECH (OS-7193610 J&amp;J)  -CC: 0000008444-000000000-7680</t>
  </si>
  <si>
    <t>7228589</t>
  </si>
  <si>
    <t>(PRJ)_CONFECCIONAR DIVISÓRIA EM ACRÍLICO P/ARMÁRIO DE CESTOS ENTRE ACABAMENTO E ESTAMPAGEM</t>
  </si>
  <si>
    <t>(PRJ)_CONFECCIONAR DIVISÓRIA EM ACRÍLICO P/ARMÁRIO DE CESTOS ENTRE ACABAMENTO E ESTAMPAGEM
CC:1000013680-625133001-0000
(*OS EM ANALISE VERIFICAR PONTOS DE SEGURANÇA E ORÇAMENTO COM EMPRESA PASS TROGENT*)</t>
  </si>
  <si>
    <t>7233508</t>
  </si>
  <si>
    <t>(PRJ)_TROCAR CABIDEIRO DA ASSEPSIA MASCULINO (RETIRAR CABIDEIRO DA PAREDE E REALIZAR PINTURA NA PAREDE)/CABIDEIRO PRONTO C/NERY - ASSEPSIA WET ROOM CATGUT</t>
  </si>
  <si>
    <t>EFSA</t>
  </si>
  <si>
    <t>SALA DE ASSEPSIA</t>
  </si>
  <si>
    <t>NOC.306.335</t>
  </si>
  <si>
    <t>TROCA DE ESPELHO QUEBRADO, BANHEIRO FEMININO AGULHAS</t>
  </si>
  <si>
    <t>7007202</t>
  </si>
  <si>
    <t>7180392</t>
  </si>
  <si>
    <t>(PRJ)_EHS&amp;S - DESATIVAR PONTO DE TOMADA (ÁREA EXTERNA, PRÓXIMO TANQUES DE SOLUÇÃO)</t>
  </si>
  <si>
    <t>7134005</t>
  </si>
  <si>
    <t>(PRJ)_PINTAR DIVISÓRIAS ENTRE SALA E ESTERILIZADORES - SALA DOS ESTERILIZADORES PRIMARIOS - ETO</t>
  </si>
  <si>
    <t>EETO</t>
  </si>
  <si>
    <t>SALA DOS ESTERILIZADORES</t>
  </si>
  <si>
    <t>7224236</t>
  </si>
  <si>
    <t>(PRJ)_REALIZAR A INSTALAÇÃO DE SUPORTE DE ÁLCOOL - VÁRIOS PONTOS DA ÁREA (AGENDAMENTO COM DAYANE)/ACABAMENTO DE SUTURAS - SALÃO "B"</t>
  </si>
  <si>
    <t>7217790</t>
  </si>
  <si>
    <t>(PRJ)_REALIZAR A PINTURA COMPLETA DA PORTA (SALA DA SUPERVISÃO MANSERV)/ACABAMENTO DE SUTURAS</t>
  </si>
  <si>
    <t>7231277</t>
  </si>
  <si>
    <t>(PRJ)_REALIZAR CORREÇÃO NA VEDAÇÃO DA PORTA PASSTROUGHT GRÁFICA (RETIRAR FITA E COLOCAR PLACA REBITADA)/ENCASTOAMENTO</t>
  </si>
  <si>
    <t>7233074</t>
  </si>
  <si>
    <t>(PRJ)_REALIZAR A PINTURA DO SUPORTE DE PERFEX OXIDADO (FIOS TEXTEIS INTERNO)</t>
  </si>
  <si>
    <t>7231278</t>
  </si>
  <si>
    <t>(PRJ)_INSTALAR CANTONEIRA AO REDOR DA PORTA DO PASSTROUGHT DA GRÁFICA (CANTONEIRA BRANCA DE ALUMÍNIO)/SEGUIR O MODELO DA PORTA PASSTROUGHT DC-VAULT</t>
  </si>
  <si>
    <t>7231263</t>
  </si>
  <si>
    <t>(PRJ)_REALIZAR REPARO EM ARMÁRIO DC (GAVETEIRO) DANIFICADO/ENCASTOAMENTO</t>
  </si>
  <si>
    <t>7233467</t>
  </si>
  <si>
    <t>(PRJ)_RELIZAR NOVA FIXAÇÃO DO DISPENSER DE ÁLCOOL NA PAREDE/NA ÁREA DE FIOS TEXTEIS</t>
  </si>
  <si>
    <t>7233922</t>
  </si>
  <si>
    <t>(PRJ)_INSTALAR CANTONEIRA E RODAPÉ NA COLUNA DO VESTIÁRIO FEMININO (CANTONEIRA BRANCA EM ALUMÍNIO)/ACABAMENTO DE SUTURAS</t>
  </si>
  <si>
    <t>7233967</t>
  </si>
  <si>
    <t>(PRJ)_REALIZAR A PINTURA DA TUBULAÇÃO DO LAVA OLHOS, FIOS TÊXTEIS EXTERNO</t>
  </si>
  <si>
    <t>7233971</t>
  </si>
  <si>
    <t>(PRJ)_INSTALAR PROTEÇÃO (TAMPÃO ESTÁ DANIFICADO) NO CARRINHO DE MOVIMENTAÇÃO - FIOS TEXTEIS - SALA EXTERNA</t>
  </si>
  <si>
    <t>7233973</t>
  </si>
  <si>
    <t>(PRJ)_INSTALAR CANTONEIRAS NAS QUINAS DA PAREDE (PORTA DE SAÍDA EMERGÊNCIA FIOS TEXTEIS EXTERNO) - CORREDOR CATGUT</t>
  </si>
  <si>
    <t>7233970</t>
  </si>
  <si>
    <t>(PRJ)_COLOCAR PÉ NA MESA NOS FIOS TÊXTEIS EXTERNO (MESA SEM PÉ)</t>
  </si>
  <si>
    <t>7233991</t>
  </si>
  <si>
    <t>(PRJ)_INSTALAR TOMADA 220V/10A MODELO 2P+T ABNT MODELO DUTOTEC - ENTRE AS MESAS DO TACHING E PLUG P/LIGAR ASPIRADOR DE PÓ QUANDO PRECISO</t>
  </si>
  <si>
    <t>7231272</t>
  </si>
  <si>
    <t>(PRJ)_INSTALAR CANTONEIRA DE ALUMÍNIO BRANCA AO REDOR DA PORTA DE EMERGÊNCIA FAS04/ENCASTOAMENTO</t>
  </si>
  <si>
    <t>7231953</t>
  </si>
  <si>
    <t>(PRJ)_REALIZAR A ORGANIZAÇÃO DE CABOS SOLTOS NO GLOVER BOX 1, KETT 3, FIOS TÊXTEIS INTERNO</t>
  </si>
  <si>
    <t>7234103</t>
  </si>
  <si>
    <t>(PRJ)_REALIZAR A PINTURA DA PARTE EXTERNA DO BANHO MARIA BWBM02 DE BONEWAX MANUAL</t>
  </si>
  <si>
    <t>7234101</t>
  </si>
  <si>
    <t>(PRJ)_REALIZAR A PINTURA DA PARTE EXTERNA DO BANHO MARIA BWBM01 DE BONEWAX MANUAL</t>
  </si>
  <si>
    <t>7231262</t>
  </si>
  <si>
    <t>(PRJ)_REALIZAR A CORREÇÃO DE MASSA/ACABAMENTO E INSTALAR CANTONEIRA ALUMÍNIO BRANCA AO REDOR DA PORTA PASSTROUGHT DC-DEPOSITO</t>
  </si>
  <si>
    <t>7185851</t>
  </si>
  <si>
    <t>(PRJ)_GEMBA - REALIZAR A PINTURA DA PORTA DO TÚNEL DE AERAÇÃO DESCASCADA NO ETO</t>
  </si>
  <si>
    <t>7177255</t>
  </si>
  <si>
    <t>(PRJ)_REALIZAR A PINTURA DANIFICADA EM TORNO DA PORTA PP1, OXIDADA</t>
  </si>
  <si>
    <t>7161118</t>
  </si>
  <si>
    <t>(PRJ)_PINTURA EM TETO MANCHADO PRÓXIMO A LUMINÁRIA, EM CIMA DAS MESA DOS COMPUTADORES</t>
  </si>
  <si>
    <t>JSANTO39</t>
  </si>
  <si>
    <t>JOSE MENINO DOS SANTOS JR</t>
  </si>
  <si>
    <t>7161121</t>
  </si>
  <si>
    <t>(PRJ)_REPARO/PINTURA EM TETO DANIFICADO, MANCHADO EM CIMA DA MEADEIRA GRANDE</t>
  </si>
  <si>
    <t>7161122</t>
  </si>
  <si>
    <t>(PRJ)_PINTURA DA PAREDE DANIFICADA PRÓXIMO A PIA</t>
  </si>
  <si>
    <t>7161124</t>
  </si>
  <si>
    <t>(PRJ)_PINTURA NA PAREDE ONDE TEM TUBULAÇÃO DE CROMO DANIFICADA</t>
  </si>
  <si>
    <t>7161126</t>
  </si>
  <si>
    <t>(PRJ)_REPARO EM PAREDE DANIFICADA PRÓXIMO A PORTA INTERNA PERTO DA MESA DE GRANITO - FIOS TEXTEIS</t>
  </si>
  <si>
    <t>7233566</t>
  </si>
  <si>
    <t>(PRJ)_PIDM - EFETUAR INSPEÇÃO DIÁRIA, LIMPEZA E PREVENTIVA EM EQUIPAMENTOS DE AR-CONDICIONADO NA ÁREA DE PIDM – JUN2024</t>
  </si>
  <si>
    <t>7218341</t>
  </si>
  <si>
    <t>(PRJ)_REALIZAR VEDAÇÃO EM CANALETA QUE ESTÁ ABERTA- AO LADO IN LINE 04 PRECISA REALIZAR ATIVIDADE COM ÁREA PARADA - CANALETA C/VÃO (NÃO ESTÁ LIGADA A EQUIPAMENTO)/CANALETA LIGA COMPUTADORES</t>
  </si>
  <si>
    <t>ESVP</t>
  </si>
  <si>
    <t>CELULA VICRYL PLUS - ACABAMENTO SUTURAS</t>
  </si>
  <si>
    <t>7428210</t>
  </si>
  <si>
    <t>(PRJ)_AZ-5604: SENSOR DA PORTA DO HAAL DE ENTRADA QUE LIGA A CORTINA DE AR NÃO ESTA FUNCIONANDO</t>
  </si>
  <si>
    <t>057-009-003-002</t>
  </si>
  <si>
    <t>ÁREA DE ARMAZENAGEM</t>
  </si>
  <si>
    <t>7207226</t>
  </si>
  <si>
    <t>(PRJ)_ARAMES: BOP_OUT - LIMPEZA/PINTURA NA TALHA DO CORTE E APONTAMENTO
(*programado p/ dia 29/06 e 30/06*)</t>
  </si>
  <si>
    <t>JJRC - PINTURA MELHORAR ASPECTO VISUAL DA GAVETA DO REPROCESSO
(*REALIZAR FABRICA PARADA 08/07/24*)</t>
  </si>
  <si>
    <t>JJRC -  PINTURA DOS VIBRA-STOP DA BUDDY MACHINE E DAS PRATELEIRAS DA ENDO (OXIDADAS)
(*REALIZAR FABRICA PARADA 08/07/24*)</t>
  </si>
  <si>
    <t>(PRJ)_INSTALAR TOMADA 220V/10A MODELO 2P+T ABNT MODELO DUTOTEC - ENTRE AS MESAS DO TACHING E PLUG P/LIGAR ASPIRADOR DE PÓ QUANDO PRECISO
(*PEDIDO DE COMPRA / LUIZ CLARO*)</t>
  </si>
  <si>
    <t>7240391</t>
  </si>
  <si>
    <t>7241352</t>
  </si>
  <si>
    <t>(PRJ)_REALIZAR A INSTALAÇÃO DE TOMADAS TECH OPS, EM UMA DAS MESAS, ESTÁ ABERTO 2 BURACOS P/INSTALAR TOMADAS, PORÉM ESTÃO VAGOS, FAVOR, INSTALAR TOMADAS, PROCURAR POR PATRICIA BRANCO</t>
  </si>
  <si>
    <t>(PRJ)_REALIZAR A INSTALAÇÃO DE TOMADAS TECH OPS, EM UMA DAS MESAS, ESTÁ ABERTO 2 BURACOS P/INSTALAR TOMADAS, PORÉM ESTÃO VAGOS, FAVOR, INSTALAR TOMADAS, PROCURAR POR PATRICIA BRANCO
CC:1000002862-625133001-0000</t>
  </si>
  <si>
    <t>ENGP</t>
  </si>
  <si>
    <t>ENGENHARIA DE DESENVOLVIMENTO</t>
  </si>
  <si>
    <t>009872</t>
  </si>
  <si>
    <t>MARCEL DE BARROS GUIMARÃES</t>
  </si>
  <si>
    <t>7474091</t>
  </si>
  <si>
    <t>(PRJ)_CBRE C4356 P1 - ÁREA DOS PANELÕES (COCÇÃO) - REALIZAR A TROCA DA VÁLVULA DE VAPOR ¾” DA LINHA DE VAPOR DA CALDEIRA, A MANIVELA DA VÁLVULA QUEBROU, DIFICULDADE DE OPERAÇÃO DOS PANELÕES/DRENAGEM –</t>
  </si>
  <si>
    <t>7243181</t>
  </si>
  <si>
    <t>(PRJ)_REALIZAR A PINTURA TOTAL NO GRADIL DA CASA DE MÁQUINAS DE AGULHAS, TÉRREO, VIRADA PARA PRÉDIO DE SUTURAS</t>
  </si>
  <si>
    <t>7243202</t>
  </si>
  <si>
    <t>(PRJ)_APLICAR REJUNTE BRANCO EPÓXI NO CANTO DA PAREDE, VEST.FEMININO (PRÓXIMO AO RODAPÉ, LADO DA PORTA DE SAÍDA DO VESTIÁRIO), RODAPÉ ESTÁ C/REJUNTE AMARELADO</t>
  </si>
  <si>
    <t>7243150</t>
  </si>
  <si>
    <t>(PRJ)_APOIO DO TIME DE ELÉTRICA, DIA 25JUN P/INSP.QUADRO ELÉTRICO 2QD11-220V NA ÁREA DA ANTIGA GRÁFICA, APOIO AO PROJETO J&amp;J MEDTECH - ETO LAYOUT ADEQUACY - WAVE #1.0</t>
  </si>
  <si>
    <t>7521091</t>
  </si>
  <si>
    <t>(PRJ)_APOIO C/OPERAÇÃO DE PLATAFORMA Z-60 DO TIME DA PREDIAL APÓS AS 18h PARA RETIRAR CASA DE MARIMBONDOS NA FACHADA DO PRÉDIO 06/KENVUE OTC</t>
  </si>
  <si>
    <t>FNO-001</t>
  </si>
  <si>
    <t>FACHADA NOROESTE</t>
  </si>
  <si>
    <t>0000008937-6251330103-7680-BR12</t>
  </si>
  <si>
    <t>7517461</t>
  </si>
  <si>
    <t>(PRJ)_VD - REALIZAR A DESMONTAGEM DO ANDAIME PARA TROCAR BICO DA TORRE FIO DENTAL</t>
  </si>
  <si>
    <t>7241750</t>
  </si>
  <si>
    <t>(PRJ)_EHS&amp;S - SUBSTITUIR O MANÔMETRO DO LAVA OLHOS DO ACABAMENTO OFTÁLMICA</t>
  </si>
  <si>
    <t>JMIRAN13</t>
  </si>
  <si>
    <t>JOSE VITOR MIRANDA</t>
  </si>
  <si>
    <t>7521214</t>
  </si>
  <si>
    <t>(PRJ)_VD 18554 INSTALAR "TACHÃO" NAS RUAS 24 A 29 (ANTIGA AREA DO TALCO) NO TOUCADOR 2 - PROCURAR URIEL OU FELIPE SIQUEIRA NO 1º TURNO (INSTALAR MESMO TACHÃO DA ÁREA DA GEMINI)</t>
  </si>
  <si>
    <t>(PRJ)_VD 18554 INSTALAR "TACHÃO" NAS RUAS 24 A 29 (ANTIGA AREA DO TALCO) NO TOUCADOR 2 - PROCURAR URIEL OU FELIPE SIQUEIRA NO 1º TURNO (INSTALAR MESMO TACHÃO DA ÁREA DA GEMINI)
CC:0000008227-000000000-7680</t>
  </si>
  <si>
    <t>057-010-005-002-001</t>
  </si>
  <si>
    <t xml:space="preserve">ÁREA DE ESTOCAGEM </t>
  </si>
  <si>
    <t>HDOMING2</t>
  </si>
  <si>
    <t>75580754 - HEVELTON DOMINGOS</t>
  </si>
  <si>
    <t>7238340</t>
  </si>
  <si>
    <t>BOP_JUN/24_ CANTONEIRAS DANIFICADAS E COM MARCAS DE BATIDAS - CORREDOR EXTERNO DE SUTURAS (BANHEIROS, GRÁFICA, ARMÁRIO DE LANCHES)</t>
  </si>
  <si>
    <t>7243549</t>
  </si>
  <si>
    <t>(PRJ)_EHS&amp;S INSTALAR ESPELHO 180° NO TETO PARA VISUALIZAÇÃO DO CORREDOR DO LASER/MULTSLIDE/PIDM</t>
  </si>
  <si>
    <t>GSOUZA10</t>
  </si>
  <si>
    <t>GEOVANA SOUZA</t>
  </si>
  <si>
    <t>Status</t>
  </si>
  <si>
    <t>Setor</t>
  </si>
  <si>
    <t>7189231</t>
  </si>
  <si>
    <t>(PRJ)_FECHAR FUROS NO ARMÁRIO DA CAPELA, ÁREA C/UMIDADE E ABERTURA NO DRY WALL NA LATERAL DA CAPELA AO LADO DO CHUVEIRO LAVA OLHOS (ÁREA DA CROMATOGRAFIA)</t>
  </si>
  <si>
    <t>(PRJ)_FECHAR FUROS NO ARMÁRIO DA CAPELA, ÁREA C/UMIDADE E ABERTURA NO DRY WALL NA LATERAL DA CAPELA AO LADO DO CHUVEIRO LAVA OLHOS (ÁREA DA CROMATOGRAFIA)
cc:1000000534-625133001-0000</t>
  </si>
  <si>
    <t>P-2110(FAST)</t>
  </si>
  <si>
    <t>P-2110(FAST) – LOCAÇÃO DE PLATAFORMA ELEVATÓRIA TESOURA CONNECTCOM.</t>
  </si>
  <si>
    <t>P-2110(FAST) – LOCAÇÃO DE PLATAFORMA ELEVATÓRIA TESOURA CONNECTCOM. (28/04 A 29/04).</t>
  </si>
  <si>
    <t>7245283</t>
  </si>
  <si>
    <t xml:space="preserve">(PRJ)_REALIZAR A FURAÇÃO DE PAREDE P/INSTALAR PLACAS DE PISO METÁLICO, PARA EVITAR BATIDAS DE CARRINHOS NA PAREDE, NO PASSTRHOUG DO PROLENE MESH (AS PLACAS JÁ ESTÃO NA FÁBRICA, SÓ PRECISA INSTALAR NA </t>
  </si>
  <si>
    <t>(PRJ)_REALIZAR A FURAÇÃO DE PAREDE P/INSTALAR PLACAS DE PISO METÁLICO, PARA EVITAR BATIDAS DE CARRINHOS NA PAREDE, NO PASSTRHOUG DO PROLENE MESH (AS PLACAS JÁ ESTÃO NA FÁBRICA, SÓ PRECISA INSTALAR NA PAREDE)
CC:1000000550-625133001-0000</t>
  </si>
  <si>
    <t>7248057</t>
  </si>
  <si>
    <t>(PRJ)_REALIZAR A PINTURA DOS TAMPOS DOS FUROS NO ARMÁRIO DA CAPELA (ÁREA DA CROMATOGRAFIA)</t>
  </si>
  <si>
    <t>7534174</t>
  </si>
  <si>
    <t xml:space="preserve">(PRJ)_CBRE C4736 VERIFICAR COMPONENTES QUE REALIZAM A ATIVAÇÃO DA BOMBA DIESEL, NA CASA DA BOMBA DE INCÊNDIO, REALIZAMOS TESTES SEMANAIS E CONSTATAMOS QUE  ENTRA ATUALMENTE C/60psi, </t>
  </si>
  <si>
    <t>(PRJ)_CBRE C4736 VERIFICAR COMPONENTES QUE REALIZAM A ATIVAÇÃO DA BOMBA DIESEL, NA CASA DA BOMBA DE INCÊNDIO, REALIZAMOS TESTES SEMANAIS E CONSTATAMOS QUE  ENTRA ATUALMENTE C/60psi, QUANDO DEVERIA ESTAR ENTRANDO ASSIM QUE ATINGISSE 110psi, SOLICITANTE: L</t>
  </si>
  <si>
    <t>7534175</t>
  </si>
  <si>
    <t xml:space="preserve">(PRJ)_CBRE C4724 REALIZAR REPARO NA SIRENE DA BOMBA ELÉTRICA, ESTÁ PRECISANDO DE REPARO COM PRIORIDADE, EQUIPAMENTO NÃO ESTÁ FUNCIONANDO, PROCURAR OS BOMBEIROS PESSOALMENTE OU </t>
  </si>
  <si>
    <t>(PRJ)_CBRE C4724 REALIZAR REPARO NA SIRENE DA BOMBA ELÉTRICA, ESTÁ PRECISANDO DE REPARO COM PRIORIDADE, EQUIPAMENTO NÃO ESTÁ FUNCIONANDO, PROCURAR OS BOMBEIROS PESSOALMENTE OU LIGAR NO RAMAL 0693/4500</t>
  </si>
  <si>
    <t>7534181</t>
  </si>
  <si>
    <t>(PRJ)_CBRE C4686 REALIZAR MANUTENÇÃO DA VPI-80, VÁLVULA ESTA DANDO PASSAGEM, LOCALIZAÇÃO: ESQUINA DO PRÉDIO DE BANDAID/ANTIGO JONTEX, A VÁLVULA</t>
  </si>
  <si>
    <t>(PRJ)_CBRE C4686 REALIZAR MANUTENÇÃO DA VPI-80, VÁLVULA ESTA DANDO PASSAGEM, LOCALIZAÇÃO: ESQUINA DO PRÉDIO DE BANDAID/ANTIGO JONTEX, A VÁLVULA ESTÁ DANDO PASSAGEM DE ÁGUA, PROCURAR LUIS CERQUEIRA P/ALINHAR NECESSIDADES PARA A ATIVIDADE</t>
  </si>
  <si>
    <t>7534184</t>
  </si>
  <si>
    <t xml:space="preserve">(PRJ)_CBRE C4685 REPARO EM ARMÁRIO Nº 29 QUE NÃO ESTÁ TRAVANDO, PROBLEMA NA LINGUETA E REGULAGEM DA PORTA E TRAVA, E COLOCAR PUXADOR NO ARMÁRIO Nº 74 NA CENTRAL </t>
  </si>
  <si>
    <t>(PRJ)_CBRE C4685 REPARO EM ARMÁRIO Nº 29 QUE NÃO ESTÁ TRAVANDO, PROBLEMA NA LINGUETA E REGULAGEM DA PORTA E TRAVA, E COLOCAR PUXADOR NO ARMÁRIO Nº 74 NA CENTRAL 2, PROCURAR DANIELA ENTRE TERÇA E QUINTA-FEIRA PARA ALINHAR LOCAL DOS ARMÁRIOS - SOLICITANTE: DANIELA BEASUS BRAGA</t>
  </si>
  <si>
    <t>057-012</t>
  </si>
  <si>
    <t>ESTRUTURA PREDIAL CENTRAL 2</t>
  </si>
  <si>
    <t>0000008033-000000000-7680</t>
  </si>
  <si>
    <t>(PRJ)_REALIZAR A PINTURA DO PISO PRÓXIMO AOS PÉS DA PRENSA DE CORTE 02 DE ACABAMENTO DE CATGUT</t>
  </si>
  <si>
    <t>(PRJ)_REALIZAR A FURAÇÃO DE PAREDE P/INSTALAR PLACAS DE PISO METÁLICO, PARA EVITAR BATIDAS DE CARRINHOS NA PAREDE, NO PASSTRHOUG DO PROLENE MESH (AS PLA</t>
  </si>
  <si>
    <t>(PRJ)_REALIZAR A FURAÇÃO DE PAREDE P/INSTALAR PLACAS DE PISO METÁLICO, PARA EVITAR BATIDAS DE CARRINHOS NA PAREDE, NO PASSTRHOUG DO PROLENE MESH (AS PLACAS JÁ ESTÃO NA FÁBRICA, SÓ PRECISA INSTALAR NA PAREDE)</t>
  </si>
  <si>
    <t>7540467</t>
  </si>
  <si>
    <t>(PRJ)_REPARAR A ALÇA DA TAMPA DO RESERVATÓRIO DE ÁGUA QUEBRADA, NA SALA DE BATERIAS DO MAM DE TOUCADOR - PROCURAR TAMIRES OU EDER NO 1º TURNO</t>
  </si>
  <si>
    <t>057-010-003-004-001</t>
  </si>
  <si>
    <t>SALA DE BATERIAS</t>
  </si>
  <si>
    <t>7540406</t>
  </si>
  <si>
    <t>(PRJ)_REALIZAR RECOMPOSIÇÃO DE TRECHOS DANIFICADOS DA CALÇADA, REBOCO NO ENTORNO DA SUBESTAÇÃO SE-04 (SE DO PRÉDIO DE PHARMA/KENVUE OTC)/ADEQUAÇÃO SYS-242319 - PRÉDIO 50 (SUBESTAÇÃO 04),</t>
  </si>
  <si>
    <t>(PRJ)_REALIZAR RECOMPOSIÇÃO DE TRECHOS DANIFICADOS DA CALÇADA, REBOCO NO ENTORNO DA SUBESTAÇÃO SE-04 (SE DO PRÉDIO DE PHARMA/KENVUE OTC)/ADEQUAÇÃO SYS-242319 - PRÉDIO 50 (SUBESTAÇÃO 04), PINTURA DE TRECHOS DANIFICADOS</t>
  </si>
  <si>
    <t>057-020-002-004</t>
  </si>
  <si>
    <t>SUBESTAÇÃO  DE ENERGIA 4-PARTE INTERNA</t>
  </si>
  <si>
    <t>007202</t>
  </si>
  <si>
    <t>NOC. 306.488</t>
  </si>
  <si>
    <t>ACOMPANHAMENTO RL - DISPENSERS 04/07/2024</t>
  </si>
  <si>
    <t>7247974</t>
  </si>
  <si>
    <t>(PRJ)_REALIZAR A PINTURA NA ESTRUTURA METÁLICA DO GUARDA CORPO ABAIXO DO ELEVADOR (R05), SOLICITANTE: MICHAEL PALMA</t>
  </si>
  <si>
    <t>(PRJ)_REALIZAR A PINTURA NA ESTRUTURA METÁLICA DO GUARDA CORPO ABAIXO DO ELEVADOR (R05), SOLICITANTE: MICHAEL PALMA
CC:1000000511-625133001-0000</t>
  </si>
  <si>
    <t>(PRJ)_PINTOR FOCADO TOUCADOR – P-1847 – NOVO PEDIDO: 553120206</t>
  </si>
  <si>
    <t>(PRJ)_PINTOR FOCADO SANPRO - NOVA PROPOSTA (P-1996) - PEDIDO: 553177397</t>
  </si>
  <si>
    <t>(PRJ)_PINTOR FOCADO OB/COTONETE - NOVA PROPOSTA (P-2054) - PEDIDO: 553187801</t>
  </si>
  <si>
    <t>7195097</t>
  </si>
  <si>
    <t>BOP_ABRIL/24_PAREDE DANIFICADA E EXCESSO DE MASSA CORRIDA _BODOLAY</t>
  </si>
  <si>
    <t>BOP_ABRIL/24_PAREDE DANIFICADA E EXCESSO DE MASSA CORRIDA _BODOLAY
CC:1000000547-625133001-0000</t>
  </si>
  <si>
    <t>(PRJ)_REALIZAR ORGANIZAÇÃO E REPARO EM CABOS DE REDE SOLTOS NO CHÃO FIOS TEXTEIS INTERNO/GLOVER BOX 1 - KETT 3 (PROCURAR KARINA ALVES NA ÁREA)
cc:1000000545-625133001-0000
(PROXIMA PARADA DE FABRICA SUTURAS)</t>
  </si>
  <si>
    <t>7251641</t>
  </si>
  <si>
    <t>(PRJ)_FAZER AÇÃO PALIATIVA PARA CONTER GOTEIRA EM CIMA DO PAINEL ELÉTRICO NA FÁBRICA IV/MATÉRIA PRIMA DE AGULHAS (VERIFICAR LOCAL E MODELO DE CONTENÇÃO NAS FOTOS DO E-MAIL).</t>
  </si>
  <si>
    <t>7246597</t>
  </si>
  <si>
    <t>(PRJ)_EFETUAR A LIMPEZA AO REDOR DAS GRELHAS DE INSUFLAMENTO DE AR-CONDICIONADO - INDEX, SOLICITANTE: MÁRIO CAETANO</t>
  </si>
  <si>
    <t>7248863</t>
  </si>
  <si>
    <t>(PRJ)_REALIZAR TRATAMENTO ANTICORROSIVO E PINTURA EM CANO ENFERRUJADO DENTRO DA CAPELA LQCA03 (LAB.QUÍMICO), SOLICITANTE: ROSEMARA</t>
  </si>
  <si>
    <t>7252415</t>
  </si>
  <si>
    <t>(PRJ)_REALIZAR A INSTALAÇÃO DE TAMPA DE CANALETA LISA, NA OFICINA DE REFRIGERAÇÃO DE UTILIDADES MANSERV (MEDTECH), SOLICITANTE: LUCIANO</t>
  </si>
  <si>
    <t>OFRU</t>
  </si>
  <si>
    <t>OFICINA REFRIGERAÇAO E UTILIDADES</t>
  </si>
  <si>
    <t>JLUCIAN4</t>
  </si>
  <si>
    <t>LUCIANO JOSÉ DONIZETE</t>
  </si>
  <si>
    <t>CPEREI51</t>
  </si>
  <si>
    <t>Clodoaldo Pereira</t>
  </si>
  <si>
    <t>7248872</t>
  </si>
  <si>
    <t>(PRJ)_REALIZAR A LIMPEZA, TRATAMENTO ANTI-CORROSIVO (SE NECESSÁRIO) E PINTURA NA CAPELA QUE ESTÁ MANCHADA NA PARTE INTERNA, NO LAB.QUÍMICO, SOLICITANTE: ROSEMARA</t>
  </si>
  <si>
    <t>7252435</t>
  </si>
  <si>
    <t>(PRJ)_SUBSTITUIR TELAS DAS GRELHAS DAS CONTENÇÕES 15 E 25, NO BOX 01 - ARMAZENAMENTO DE BOMBONAS VAZIAS, SOLICITANTE: MÁRIO CAETANO</t>
  </si>
  <si>
    <t>AGUBOX01</t>
  </si>
  <si>
    <t>BOX 01 - ARMAZENAMENTO DE BOMBONAS VAZIAS</t>
  </si>
  <si>
    <t>7252436</t>
  </si>
  <si>
    <t>(PRJ)_INSTALAR BARRAS DE PROTEÇÃO NA PAREDE DE ENTRADA DO BOX DE BOMBONAS VAZIAS, BOX 01, SOLICITANTE: MÁRIO CAETANO</t>
  </si>
  <si>
    <t>7252456</t>
  </si>
  <si>
    <t>(PRJ)_TROCAR AS DOBRADIÇAS DA PORTA DO ARMÁRIO DA CAPELA DE LACTATO DE ETILA, NA ÁREA DE FIOS TÉXTEIS, SOLICITANTE: EDUARDO SANTOS</t>
  </si>
  <si>
    <t>7245969</t>
  </si>
  <si>
    <t>(PRJ)_TELAS DAS JANELAS SUJAS, DEP.QUÍMICOS 3 (RT1) MAM MEDTECH, DESMONTAR E LAVAR, LIBERADO PARA A EXECUTAR DE SEGUNDA A SEXTA-FEIRA, SOLICITANTE: MICHAEL PALMA</t>
  </si>
  <si>
    <t>RT1</t>
  </si>
  <si>
    <t>Químico 3 - MAM MedTech</t>
  </si>
  <si>
    <t>7246584</t>
  </si>
  <si>
    <t>(PRJ)_EFETUAR A PINTURA TOTAL NAS PAREDES PRÓXIMO AO WC MASCULINO, AO LADO DA PORTA AUTOMÁTICA E PRÓXIMO A PORTA DE SAÍDA DO LASER  - REGIÃO DOS ARMÁRIOS EM FRENTE AO LAGO, SOLICITANTE: MÁRIO CAETANO</t>
  </si>
  <si>
    <t>7195922</t>
  </si>
  <si>
    <t>(PRJ)_REALIZAR O REPARO NA CANTONEIRA MCS01 E MCS02</t>
  </si>
  <si>
    <t>7195924</t>
  </si>
  <si>
    <t>(PRJ)_REALIZAR O REPARO NA PAREDE (DHC) MCS01 E MCS02</t>
  </si>
  <si>
    <t>7195960</t>
  </si>
  <si>
    <t>(PRJ)_REALIZAR REPARO NA VEDAÇÃO E TRANSPOSIÇÃO DA TUBULAÇÃO PARA O FORRO</t>
  </si>
  <si>
    <t>7195110</t>
  </si>
  <si>
    <t>(PRJ)_REALIZAR REPARO NA PAREDE DANIFICADA NO BODOLAY</t>
  </si>
  <si>
    <t>6724419</t>
  </si>
  <si>
    <t>(PRJ)_PC552989716 P-1165 CAR12204 COBALT REPLENISHMENT 2022 (CORE22) – REALIZAR INSTALAÇÃO DE TOMADAS NO COBALTO, ALIMENTAÇÃO DO QGBT / PAINEL DA ENDO ATÉ O COBALTO</t>
  </si>
  <si>
    <t>CSC</t>
  </si>
  <si>
    <t>SALA DE COMANDO - COBALTO</t>
  </si>
  <si>
    <t>ABRAZ25</t>
  </si>
  <si>
    <t>ADRIANO BRAZ</t>
  </si>
  <si>
    <t>1000000549-625133001-0000</t>
  </si>
  <si>
    <t>7544906</t>
  </si>
  <si>
    <t>(PRJ)_(EM ORÇAMENTO) AZ-1150 PINTURA DESCASCANDO NA ESTUFA, REALIZAR PINTURA TOTAL, ETF-0010 - ESTUFA POWER SYSTEMS 1,8 X 1,8 X 1,0 M A 80 C</t>
  </si>
  <si>
    <t>SAL-406</t>
  </si>
  <si>
    <t>Picking Material - Piso Inferior</t>
  </si>
  <si>
    <t>ASILVA35</t>
  </si>
  <si>
    <t>ANDERSON SILVA</t>
  </si>
  <si>
    <t>0000008912-6251330103-7680-BR12</t>
  </si>
  <si>
    <t>057-024-009</t>
  </si>
  <si>
    <t>FACHADA LADO PORTARIA</t>
  </si>
  <si>
    <t>7259519</t>
  </si>
  <si>
    <t>(PRJ)_REALOCAR A PLACA DE IDENTIFICAÇÃO DO EQUIPAMENTO (FIXAÇÃO NO FORRO)</t>
  </si>
  <si>
    <t>7257365</t>
  </si>
  <si>
    <t>(PRJ)_REALIZAR A IDENTIFICAÇÃO ADEQUADA DA DISJUNTOR DE ALIMENTAÇÃO QUE É DEDICADO DO SISTEMA YOKOGAWA NO LABORATÓRIO QUÍMICO, DISJUNTOR “NÃO DESLIGAR/DISJUNTOR DEDICADO DO CONTROLADOR YOKOGAWA”</t>
  </si>
  <si>
    <t>DDEFREI1</t>
  </si>
  <si>
    <t>CSANTO43</t>
  </si>
  <si>
    <t>CIRO SANTOS</t>
  </si>
  <si>
    <t>7233567</t>
  </si>
  <si>
    <t>(PRJ)_PIDM - EFETUAR INSPEÇÃO DIÁRIA, LIMPEZA E PREVENTIVA EM EQUIPAMENTOS DE AR-CONDICIONADO NA ÁREA DE PIDM – JUL2024</t>
  </si>
  <si>
    <t>7438312</t>
  </si>
  <si>
    <t>(PRJ)_VM - PISO DO CUBICULO DO FANCOIL 1 OB, COM RISCO DE QUEDA/FANCOIL OB - CENTRAL DE CLIMATIZAÇÃO</t>
  </si>
  <si>
    <t>7553172</t>
  </si>
  <si>
    <t>(PRJ)_REALIZAR A TROCA DO REVESTIMENTOS NA COR BRANCA DA PAREDE QUE ESTÃO DANIFICADOS E QUEBRADOS NA ÁREA DO CAFÉ</t>
  </si>
  <si>
    <t>7553173</t>
  </si>
  <si>
    <t xml:space="preserve">(PRJ)_REALIZAR APÓS A EXECUÇÃO DA OS 7553172 (DE TROCA DOS REVESTIMENTOS) A PINTURA TOTAL DOS AZULEJOS DA PAREDE NA ÁREA DE PREPARO DE CAFÉ, PINTURA COM TINTA RENOVA AZULEJOS CORAL/EPÓXI </t>
  </si>
  <si>
    <t>(PRJ)_REALIZAR APÓS A EXECUÇÃO DA OS 7553172 (DE TROCA DOS REVESTIMENTOS) A PINTURA TOTAL DOS AZULEJOS DA PAREDE NA ÁREA DE PREPARO DE CAFÉ, PINTURA COM TINTA RENOVA AZULEJOS CORAL/EPÓXI BASE ÁGUA NA COR BRANCA</t>
  </si>
  <si>
    <t>7495532</t>
  </si>
  <si>
    <t>(PRJ)_PC553218289 P-2101 MONTAR BRIGHT GREEN/TECH BAR, NO HALL DE ENTRADA DA CENTRAL 2 (QUIOSQUE DE ATENDIMENTO DE IT)</t>
  </si>
  <si>
    <t>057-012-052</t>
  </si>
  <si>
    <t>HALL DE ENTRADA</t>
  </si>
  <si>
    <t>7253853</t>
  </si>
  <si>
    <t>(PRJ)_REALIZAR A PINTURA DE ESTRADOS NO ETO</t>
  </si>
  <si>
    <t>(PRJ)_REALIZAR A PINTURA DE ESTRADOS NO ETO
LOCAL: ESTERILIZAÇÃO POR ÓXIDO ETILENO - ETO
CC:1000000548-625133001-0000</t>
  </si>
  <si>
    <t>MALMEI29</t>
  </si>
  <si>
    <t>MIGUEL VITOR</t>
  </si>
  <si>
    <t>6837000</t>
  </si>
  <si>
    <t>(PRJ)_REALIZAR A PINTURA NAS BASES DOS MOTORES DAS TORÇÕES DE FIOS EM GERAL – WET ROOM</t>
  </si>
  <si>
    <t>LSILV141</t>
  </si>
  <si>
    <t>LUCIO MAURO</t>
  </si>
  <si>
    <t>6846396</t>
  </si>
  <si>
    <t>(PRJ)_RETIRAR LEITOR DE PRESENÇA INOPERANTE P/ABERTURA DA PORTA (INTERNO), RETIRAR CORTINA DE AR E REALIZAR A MANUTENÇÃO NA MESMA QUE ESTÁ INOPERANTE, ENTRADA DE AGULHAS</t>
  </si>
  <si>
    <t>6902195</t>
  </si>
  <si>
    <t>(PRJ)_RETIRAR E FRESAR FAIXA DE PEDESTRE E FAIXA AMARELHA NA ESQUINA DE ENTRADA DO PACAEMBU/ANTIGA FAIXA APAGADA QUE ESTÁ REAPARECENDO</t>
  </si>
  <si>
    <t>057-008-043</t>
  </si>
  <si>
    <t>QA-LABORATÓRIO FÍSICO</t>
  </si>
  <si>
    <t>0000008716-000000000-7680</t>
  </si>
  <si>
    <t>6968003</t>
  </si>
  <si>
    <t>(PRJ)_EHS&amp;S REALIZAR A PINTURA DA DEMARCAÇÃO DE ABERTURA DAS PORTAS NA ÁREA DA UNIVERSIDADE (FAIXA AMARELA ZEBRADA C/PRETO), PROCURAR A EDILENE NA UNIVERSIDADE DE SEGUNDA À QUARTA-FEIRA, PARA VERIFICA</t>
  </si>
  <si>
    <t>(PRJ)_EHS&amp;S REALIZAR A PINTURA DA DEMARCAÇÃO DE ABERTURA DAS PORTAS NA ÁREA DA UNIVERSIDADE (FAIXA AMARELA ZEBRADA C/PRETO), PROCURAR A EDILENE NA UNIVERSIDADE DE SEGUNDA À QUARTA-FEIRA, PARA VERIFICAR QUAIS PORTAS DEVEM REALIZAR A PINTURA</t>
  </si>
  <si>
    <t>057-026</t>
  </si>
  <si>
    <t>ESTRUTURA PREDIAL UNIVERSIDADE</t>
  </si>
  <si>
    <t>0000008304-0000000000-7680</t>
  </si>
  <si>
    <t>6996292</t>
  </si>
  <si>
    <t>(PRJ)_RETIRAR 1 TOTEM DA KENVUE NA SALA DO RH GLOBAL (NO PRÉDIO DO RESTAURANTE), E LEVAR A SALA DE COMUNICAÇÃO P/THAIS VEIGA DA COMUNICAÇÃO INTERNA (TIME DA COMUNICAÇÃO ESTÁ NA PARTE DE TRÁS DO PRÉDIO</t>
  </si>
  <si>
    <t>057-018-001</t>
  </si>
  <si>
    <t>RH GLOBAL- EMPLOYEE SERVICE CENTER</t>
  </si>
  <si>
    <t>0000008654-000000000-7680</t>
  </si>
  <si>
    <t>7080308</t>
  </si>
  <si>
    <t>VIGIA PTA - SUPORTE INSPEÇÃO PONTE ROLANTE ARAMES</t>
  </si>
  <si>
    <t>ESANTO48</t>
  </si>
  <si>
    <t>EMERSON HENRIQUE DE OLIVEIRA SANTOS</t>
  </si>
  <si>
    <t>7095572</t>
  </si>
  <si>
    <t>(PRJ)_EFETUAR LIMPEZA NAS GRELHAS DE AR CONDICIONADO - SALA DE SUPORTE (PISO INFERIOR DE ESCRITÓRIOS)</t>
  </si>
  <si>
    <t>7076049</t>
  </si>
  <si>
    <t>(PRJ)_HO - MUDAR DE LUGAR A PLACA DE IDENTIFICAÇÃO DO CARRINHO DE ROLETE</t>
  </si>
  <si>
    <t>YSILVASA</t>
  </si>
  <si>
    <t>YASMIN SILVA SACRAMENTO</t>
  </si>
  <si>
    <t>7090611</t>
  </si>
  <si>
    <t>(PRJ)_PINTURA DA FACHADA DO NCS E PINTURA DAS FACHADAS DO PRÉDIO DO ITS</t>
  </si>
  <si>
    <t>(PRJ)_PINTURA DA FACHADA DO NCS E PINTURA DAS FACHADAS DO PRÉDIO DO ITS
CC: 1000018587-625133001-0000</t>
  </si>
  <si>
    <t>7116296</t>
  </si>
  <si>
    <t>(PRJ)_REALIZAR A PINTURA DOS PÉS DA MÁQUINA, ESTÁ C/FERRUGEM (SELADORA HARAMURA 03)</t>
  </si>
  <si>
    <t>(PRJ)_REALIZAR A PINTURA DOS PÉS DA MÁQUINA, ESTÁ C/FERRUGEM (SELADORA HARAMURA 03)
CC: 1000000550-625133001-0000</t>
  </si>
  <si>
    <t>7053946</t>
  </si>
  <si>
    <t xml:space="preserve">(PRJ)_(EM AVALIAÇÃO) - VD - TROCAR SISTEMA DE DRENAGEM </t>
  </si>
  <si>
    <t>(PRJ)_(EM AVALIAÇÃO) - VD - TROCAR SISTEMA DE DRENAGEM - DEVIDO AO VAZAMENTO DE ÁGUA NA FÁBRICA RELATIVO AO FANCOIL 06 DA PESAGEM É NECESSARIO REFAZER E REALOCAR TODO O SITEMA DE DRENAGEM DOS FANCOILS 05 E FANCOIL 06 DA PESAGEM DE TOUCADOR</t>
  </si>
  <si>
    <t>7261457</t>
  </si>
  <si>
    <t>(PRJ)_CBRE C3195 REALIZAR A MOVIMENTAÇÃO DE MÓVEIS DE LUGAR, NO PRÉDIO DO BANCO SANTANDER, SALA AO LADO DE ER\LR, ANDREZA CLAUDINO ACLAUD01@KENVUE.COM</t>
  </si>
  <si>
    <t>057-018</t>
  </si>
  <si>
    <t>ESTRUTURA PREDIAL RH</t>
  </si>
  <si>
    <t>ACLAUD01</t>
  </si>
  <si>
    <t>ANDREZA CLAUDINO</t>
  </si>
  <si>
    <t>0000008669-000000000-7680</t>
  </si>
  <si>
    <t>7332406</t>
  </si>
  <si>
    <t>(PRJ)_OB/COTONETES - PINTOR EXTRA PARA O DIA 02/03/2024</t>
  </si>
  <si>
    <t>(PRJ)_OB/COTONETES - PINTOR EXTRA PARA O DIA 02/03/2024
CC:0000008019-000000000-7680</t>
  </si>
  <si>
    <t>7332411</t>
  </si>
  <si>
    <t>(PRJ)_TRANSPORTE DE GELADEIRA DA CENTRAL 4 PARA CANTEIRO DA UNIVERSAL PARA REPARO</t>
  </si>
  <si>
    <t>057-014-005</t>
  </si>
  <si>
    <t>COPA C.IV</t>
  </si>
  <si>
    <t>7339916</t>
  </si>
  <si>
    <t>(PRJ)_TOUCADOR – HE PINTOR DEDICADO DIA 10/03/2024 - ATENDER PREPARAÇÃO PARA VISITA</t>
  </si>
  <si>
    <t>057-006</t>
  </si>
  <si>
    <t>ESTRUTURA PREDIAL TOUCADOR</t>
  </si>
  <si>
    <t>7330608</t>
  </si>
  <si>
    <t>(PRJ)_TROCAR 03 REFLETORES DA PLACA DA DUTRA/PLACA DA PANASONIC/PARQUE DE PAINÉIS SOLARES ATUAIS DE 100W POR 03 DE 300W EM LED</t>
  </si>
  <si>
    <t>(PRJ)_TROCAR 03 REFLETORES DA PLACA DA DUTRA/PLACA DA PANASONIC/PARQUE DE PAINÉIS SOLARES ATUAIS DE 100W POR 03 DE 300W EM LED
CC: 0000008244-000000000-7680</t>
  </si>
  <si>
    <t>057-021</t>
  </si>
  <si>
    <t>ESTRUTURA PREDIAL SEGURANÇA PATRIMONIAL</t>
  </si>
  <si>
    <t>6782112</t>
  </si>
  <si>
    <t>(PRJ)_REALIZAR A PINTURA NA ESCADA MARINHEIRO QUE ESTÁ C/PONTOS DE OXIDAÇÃO DENTRO DO DEPÓSITO DE CAIXAS - PROCURAR POR PATRICIA FAJARDO</t>
  </si>
  <si>
    <t>057-024-017</t>
  </si>
  <si>
    <t>CORREDOR DO DEPÓSITO</t>
  </si>
  <si>
    <t>CC: 8242</t>
  </si>
  <si>
    <t>6750265</t>
  </si>
  <si>
    <t>(PRJ)_REALIZAR INSPEÇÃO DOS CASSETES DA FÁBRICA DE AGULHAS</t>
  </si>
  <si>
    <t>CC: 1000013679</t>
  </si>
  <si>
    <t>6837244</t>
  </si>
  <si>
    <t>(PRJ)_HO - PINTURA COM AVARIA NO TANQUE DE MISTURA NA IW2</t>
  </si>
  <si>
    <t>057-005-003-003-012</t>
  </si>
  <si>
    <t>ÁREA DE IMPREGNAÇÃO</t>
  </si>
  <si>
    <t>CC: 8040</t>
  </si>
  <si>
    <t>7049919</t>
  </si>
  <si>
    <t>(PRJ)_REALIZAR A PINTURA DA PAREDE DA SALA DA DIRETORA DA MEDTECH</t>
  </si>
  <si>
    <t>(PRJ)_REALIZAR A PINTURA DA PAREDE DA SALA DA DIRETORA DA MEDTECH, LOCAL ONDE SERÁ RETIRADO AR CONDICIONADO (PINTURA TOTAL DA PAREDE NA COR BRANCA PARA RECEBER NOVOS ADESIVOS DA JNJ MEDTECH)/REALIZAR REPARO E RETOQUES EM 2 PONTOS EXTERNOS NA ÁREA DA DIR</t>
  </si>
  <si>
    <t>CC: 1000002862</t>
  </si>
  <si>
    <t>7071376</t>
  </si>
  <si>
    <t>(PRJ)_TALCO/BAND AID - RETIRAR GUARD-RAIL DA ANTIGA FÁBRICA DE TALCO E INSTALAR NA ÁREA DOS CARRINHOS DE DRUM DO BANDAID, REALIZAR RETRABALHO EM ESTRUTURA EM INOX PARA CORRETA FIXAÇÃO</t>
  </si>
  <si>
    <t>057-003-005-005-015</t>
  </si>
  <si>
    <t>LINHA ROTARY HEAD # 05</t>
  </si>
  <si>
    <t>CC: 8048</t>
  </si>
  <si>
    <t>7103145</t>
  </si>
  <si>
    <t>(PRJ)_MOVIMENTAR MÓVEIS NA SALA DE REUNIÃO SJC NA CENTRAL 2 + MONTAGEM DE BOLHA PARA PINTURA EXTERNA</t>
  </si>
  <si>
    <t>057-012-028</t>
  </si>
  <si>
    <t>SALA 28</t>
  </si>
  <si>
    <t>CC: 8266</t>
  </si>
  <si>
    <t>7037404</t>
  </si>
  <si>
    <t>Instalação da fechadura com chave na copa de utilidades</t>
  </si>
  <si>
    <t>MDEBARR2</t>
  </si>
  <si>
    <t xml:space="preserve">MARCEL DE BARROS GUIMARAES </t>
  </si>
  <si>
    <t>CC: 8208</t>
  </si>
  <si>
    <t>7031494</t>
  </si>
  <si>
    <t>(PRJ)_SALA 2, ÁREA DE FACILITIES CENTRAL 4 - DESMONTAR MESAS, PINTURA TOTAL DA SALA</t>
  </si>
  <si>
    <t>(PRJ)_SALA 2, ÁREA DE FACILITIES CENTRAL 4 - DESMONTAR MESAS, PINTURA TOTAL DA SALA, MONTAR INFRAESTRUTURA ELÉTRICA P/MESA E MONTAGEM DE 1 MESA DA SALA CEARÁ NA SALA 2, RETIRAR MESAS DA SALA 2 ATUAL E DESCARTAR NO CMP
CC: 0000008641-000000000-7680</t>
  </si>
  <si>
    <t>057-014-016</t>
  </si>
  <si>
    <t>SALA II LATERAL ESQUERDO</t>
  </si>
  <si>
    <t>021776</t>
  </si>
  <si>
    <t>ALEX APARECIDO DE SOUZA</t>
  </si>
  <si>
    <t>CC: 8641</t>
  </si>
  <si>
    <t>(PRJ)FAZER NOVA DEMARCAÇÃO DE CHÃO PARA EXTINTORES DE INCÊNDIO (MANTA VINÍLICA)/NA ÁREA DO BONE WAX</t>
  </si>
  <si>
    <t>7262230</t>
  </si>
  <si>
    <t>PRJ_BOP-CATGUT-JULHO REALIZAR A PINTURA DA BASE DE SUSTENTAÇÃO DOS AGITADORES E PÉS DA MESA ENFERRUJADOS</t>
  </si>
  <si>
    <t>PRJ_BOP-CATGUT-JULHO REALIZAR A PINTURA DA BASE DE SUSTENTAÇÃO DOS AGITADORES E PÉS DA MESA ENFERRUJADOS
CC:1000000544-625133001-0000</t>
  </si>
  <si>
    <t>7554969</t>
  </si>
  <si>
    <t>(PRJ)_VD - REALIZAR REPARO EM PISO DA ÁREA DAS BAC DETERIORADOS, NA CENTRAL DE UTILIDADES</t>
  </si>
  <si>
    <t>7559770</t>
  </si>
  <si>
    <t>(PRJ)_OTC - REALIZAR A PINTURA DE EQUIPAMENTO, VIBRADOR DA PANELA EM CIMA DA MÁQUINA COM PINTURA GASTA (LINHA E3)</t>
  </si>
  <si>
    <t>FAB-001</t>
  </si>
  <si>
    <t>Área Fabril OTC</t>
  </si>
  <si>
    <t>0000008905-6251330102-7680-BR12</t>
  </si>
  <si>
    <t>(PRJ)_GEMBA – REALIZAR A PINTURA DA PORTA DESCASCANDO NA CÂMARA DE SECAGEM - REALIZAR PINTURA NAS CÂMARAS 1 ,2 E 3</t>
  </si>
  <si>
    <t>(PRJ)_REALIZAR A PINTURA, TINTA LASCADA/FERRUGEM ARMÁRIOS DE TIPS CORTE E APONTAMENTO
(REALIZAR EM DOMINGO)</t>
  </si>
  <si>
    <t>(PRJ)_LAB.MICRO - PINTAR A PAREDE ONDE FORAM RETIRADAS AS IDENTIFICAÇÕES DO CHUVEIRO LAVA OLHOS (PONTO COM UMIDADE, TRATAR E PINTAR)</t>
  </si>
  <si>
    <t>(PRJ) - P-1733 VD - INSTALAR FOTO-CÉLULA NA ILUMINAÇÃO EXTERNA DO ICE NA CENTRAL DE UTILIDADES</t>
  </si>
  <si>
    <t>(PRJ)_REALIZAR A ORGANIZAÇÃO DE FIOS E CALHAS NA ÁREA DE EMBALAGEM</t>
  </si>
  <si>
    <t>(PRJ)_REALIZAR A ORGANIZAÇÃO DE FIOS E CALHAS NA ÁREA DE EMBALAGEM
CC:1000000547-625133001-0000</t>
  </si>
  <si>
    <t>NOC - 306.610</t>
  </si>
  <si>
    <t>PROJETO INTERNAL BRANDING MAKE SITE SJC - OTC</t>
  </si>
  <si>
    <t>7266926</t>
  </si>
  <si>
    <t>PRJ_RETOQUE PINTURA CHAPA DE  SAIDA DE PRODUTOS PARA EMBALAGEM</t>
  </si>
  <si>
    <t>PRJ_RETOQUE PINTURA CHAPA DE  SAIDA DE PRODUTOS PARA EMBALAGEM
CC:1000000549-625133001-0000</t>
  </si>
  <si>
    <t>CET</t>
  </si>
  <si>
    <t>COBALTO - ESTERILIZAÇÃO</t>
  </si>
  <si>
    <t>7265539</t>
  </si>
  <si>
    <t>PRJ_BOP_JULHO/2024_MELHORIA  PARA NÃO TER ALAGAMENTO PRÓXIMO A PORTA DA CÂMARA DE SECAGEM</t>
  </si>
  <si>
    <t>PRJ_BOP_JULHO/2024_MELHORIA  PARA NÃO TER ALAGAMENTO PRÓXIMO A PORTA DA CÂMARA DE SECAGEM
CC:1000000547-625133001-0000</t>
  </si>
  <si>
    <t>7266955</t>
  </si>
  <si>
    <t>Fixar 2 dispensers de Alcool na área de Bonewax e acabamento catgut</t>
  </si>
  <si>
    <t>Fixar 2 dispensers de Alcool na área de Bonewax e acabamento catgut
CC:1000000547-625133001-0000</t>
  </si>
  <si>
    <t>7266963</t>
  </si>
  <si>
    <t>Fixação de piso-chapa na parede do passthrough do prolene mesh</t>
  </si>
  <si>
    <t>Fixação de piso-chapa na parede do passthrough do prolene mesh
CC:1000000550-625133001-0000</t>
  </si>
  <si>
    <t>7268291</t>
  </si>
  <si>
    <t>PRJ_BOP_MAR - PAREDE SUJAS/DANIFICADAS - PAREDES DAS ÁREAS DA ANUTENÇÃO ESTÃO SUJAS E DANIFICADAS, POR FAVOR REPARAR E PINTAR AS PAREDES, ÁREA DE USINAGEM, PORTA ENTRADA/SAÍDA, PAREDE DA ÁREA DOS COMP</t>
  </si>
  <si>
    <t>PRJ_BOP_MAR - PAREDE SUJAS/DANIFICADAS - PAREDES DAS ÁREAS DA MANUTENÇÃO ESTÃO SUJAS E DANIFICADAS, POR FAVOR REPARAR E PINTAR AS PAREDES, ÁREA DE USINAGEM, PORTA ENTRADA/SAÍDA, PAREDE DA ÁREA DOS COMP
CC:1000000514-625133001-0000</t>
  </si>
  <si>
    <t>7264040</t>
  </si>
  <si>
    <t>PRJ_BOP_JULHO – EFETUAR PINTURA NO BARRADO CINZA DA DOCA DE RECEBIMENTO DE MATERIAIS</t>
  </si>
  <si>
    <t>PRJ_BOP_JULHO – EFETUAR PINTURA NO BARRADO CINZA DA DOCA DE RECEBIMENTO DE MATERIAIS
CC:1000000546-625133001-0000</t>
  </si>
  <si>
    <t>7201608</t>
  </si>
  <si>
    <t>WPARRA</t>
  </si>
  <si>
    <t>William Parra</t>
  </si>
  <si>
    <t>7268908</t>
  </si>
  <si>
    <t>BOP_JULHO - 1 SPOT DE LUZ QUEIMADO (ESPELHO)</t>
  </si>
  <si>
    <t>BOP_JULHO - 1 SPOT DE LUZ QUEIMADO (ESPELHO)
CC:1000000546-625133001-0000</t>
  </si>
  <si>
    <t>EAWCM1</t>
  </si>
  <si>
    <t>WC MASCULINO - AGULHAS - próximo a Suturas</t>
  </si>
  <si>
    <t>INSTALAÇÃO DE UMA TOMADA MAIS ALTA,SALA DE SUPERVISORES EXTERNO</t>
  </si>
  <si>
    <t>(PRJ)_TRATAMENTO ANTICORROSIVO E PINTURA NA BASE DAS MESAS E ARMÁRIOS ENFERRUJADOS NO DEP.VAULT (R10) MAM MEDTECH
(* PROGRAMAR PARADA DA SUTURAS*)</t>
  </si>
  <si>
    <t>7209489</t>
  </si>
  <si>
    <t>[Med. 07/24] PRJ_NECESSIDADE DE PINTURA PAREDE DE SPOOLS REPROVADOS (AO LADO DE CORTE E APONTAMENTO)</t>
  </si>
  <si>
    <t>PRJ_NECESSIDADE DE PINTURA PAREDE DE SPOOLS REPROVADOS (AO LADO DE CORTE E APONTAMENTO)</t>
  </si>
  <si>
    <t>Medição 07/2024 - 020 
CC: 1000011658
 Valor: R$ 835,49</t>
  </si>
  <si>
    <t>7233974</t>
  </si>
  <si>
    <t>(PRJ)_REALIZAR A LIMPEZA DUTOS HVAC - LAB QUÍMICO (KENVUE OTC)
CC:1000000506-625133001-0000</t>
  </si>
  <si>
    <t>JEJPP</t>
  </si>
  <si>
    <t>JOHNSON &amp; JOHNSON MEDICAL BRASIL</t>
  </si>
  <si>
    <t>(PRJ)_CBRE C4356 P1 - ÁREA DOS PANELÕES (COCÇÃO) - REALIZAR A TROCA DA VÁLVULA DE VAPOR ¾” DA LINHA DE VAPOR DA CALDEIRA, A MANIVELA DA VÁLVULA QUEBROU, DIFICULDADE DE OPERAÇÃO DOS PANELÕES/DRENAGEM – 16/08 ( *SEXTA-FEIRA *)
CC:0000008242-000000000-7680</t>
  </si>
  <si>
    <t>P-2115</t>
  </si>
  <si>
    <t>P-2115(FAST)-Troca de ar condicionado MAM Químico</t>
  </si>
  <si>
    <t>VSOUZA1</t>
  </si>
  <si>
    <t>75386284  - VANDER ALBANO DE SOUZA FILHO</t>
  </si>
  <si>
    <t>P-2144(FAST)</t>
  </si>
  <si>
    <t>P-2144(FAST)-APOIO ABERTURA DE CAIXAS EM FRENTE AGULHAS</t>
  </si>
  <si>
    <t>(PRJ)_BOP_AGO - PINTURA DETERIORADA PISO DEP.ARAMES SEMI-ACABADO (R12) MAM MEDTECH LIBERADO SÁBADOS - 1ºTURNO, PINTURA TOTAL</t>
  </si>
  <si>
    <t>(PRJ)_BOP_AGO - PINTURA DETERIORADA PISO DEP.ARAMES SEMI-ACABADO (R12) MAM MEDTECH LIBERADO SÁBADOS - 1ºTURNO, PINTURA TOTAL
CC:1000000511-625133001-0000</t>
  </si>
  <si>
    <t>7273138</t>
  </si>
  <si>
    <t>INSTALAÇÃO DE UMA TOMADA MAIS ALTA,SALA DE SUPERVISORES EXTERNO
SALA DOS SUPERVISORES DA MANUTENÇÃO (CALIBRAÇÃO/ELÉTRICA/MECÂNICA)
CC:1000000514-625133001-0000</t>
  </si>
  <si>
    <t>7275846</t>
  </si>
  <si>
    <t>(PRJ)_INSPEÇÃO DE CHAMINÉS - FABRICA III - AGULHAS</t>
  </si>
  <si>
    <t>(PRJ)_INSPEÇÃO DE CHAMINÉS - FABRICA III - AGULHAS
CC:1000000546-625133001-0000</t>
  </si>
  <si>
    <t>IN</t>
  </si>
  <si>
    <t>INSPEÇÃO</t>
  </si>
  <si>
    <t>7577135</t>
  </si>
  <si>
    <t>(PRJ)_VD 21058 REALIZAR A MUDANÇA DE LOCAL DO CARREGADOR DE BATERIAS DA PALETEIRA ELÉTRICA - PROCURAR VAGNER CELETE</t>
  </si>
  <si>
    <t>(PRJ)_VD 21058 REALIZAR A MUDANÇA DE LOCAL DO CARREGADOR DE BATERIAS DA PALETEIRA ELÉTRICA - PROCURAR VAGNER CELETE
CC :0000008919-6251330103-7680-BR12</t>
  </si>
  <si>
    <t>MAM-001</t>
  </si>
  <si>
    <t>MOVIMENTAÇÃO E ARMAZENAGEM DE MATERIAIS - MAM</t>
  </si>
  <si>
    <t>NOC306978</t>
  </si>
  <si>
    <t>INSPEÇÃO DOS BANHEIROS J&amp;J E KENVUE</t>
  </si>
  <si>
    <t>JJSJC</t>
  </si>
  <si>
    <t>JOHNSON &amp; JOHNSON SJC</t>
  </si>
  <si>
    <t>047136</t>
  </si>
  <si>
    <t>VAGNER MANUEL IZIDORO RODRIGUES</t>
  </si>
  <si>
    <t>7265153</t>
  </si>
  <si>
    <t>(PRJ)_BOP_JUL - ORGANIZAR CABOS TESTE DE PENETRAÇÃO</t>
  </si>
  <si>
    <t>7260113</t>
  </si>
  <si>
    <t>(PRJ)_REALIZAR A PINTURA BRANCA FORROS DA SALA DE CONTROLE COBALTO</t>
  </si>
  <si>
    <t>(PRJ)_REALIZAR A PINTURA BRANCA FORROS DA SALA DE CONTROLE COBALTO
(* REALIZAR NA PROXIMA PARADA*)</t>
  </si>
  <si>
    <t>7260120</t>
  </si>
  <si>
    <t>(PRJ)_BOP - REALIZAR A PINTURA DA TUBULAÇÃO DE GLP (AMARELA) E DOS SUPORTES DE FIXAÇÃO NA PAREDE NA ÁREA DO LAB.MICROBIOLOGIA</t>
  </si>
  <si>
    <t>7259683</t>
  </si>
  <si>
    <t>(PRJ)_REALIZAR A PINTURA DE PISO COM EPOXI, DAS CASAS DE MÁQUINAS DA MEDTECH (INICIAR PELA CASA DE MÁQUINAS DA FÁBRICA DE AGULHAS)/EPÓXI CINZA</t>
  </si>
  <si>
    <t>RPIMENTA</t>
  </si>
  <si>
    <t>Raissa de Abreu</t>
  </si>
  <si>
    <t>7246680</t>
  </si>
  <si>
    <t>(PRJ)_BOP_JUN - REALIZAR A PINTURA DA DEMARCAÇÃO DO CHUVEIRO LAVA-OLHOS LASCADA (DMP) ÁREA EXTERNA DEP.MATÉRIA-PRIMA (MAM)</t>
  </si>
  <si>
    <t>7264051</t>
  </si>
  <si>
    <t>(PRJ)_BOP_JUL - EFETUAR A PINTURA NAS TUBULAÇÕES DE ÁGUA E ELÉTRICA - CENTRAL DE SOLUÇÕES</t>
  </si>
  <si>
    <t>(PRJ)_BOP_JUL - EFETUAR A PINTURA NAS TUBULAÇÕES DE ÁGUA E ELÉTRICA - CENTRAL DE SOLUÇÕES
(* PROGRAMAR APENAS DOMINGO*)</t>
  </si>
  <si>
    <t>7265140</t>
  </si>
  <si>
    <t>(PRJ)_BOP_JUL - REALIZAR A PINTURA DOS PÉS OXIDADOS DO ARMÁRIO DE MADEIRA NO BANHEIRO FEMININO DE SUTURAS</t>
  </si>
  <si>
    <t>7265148</t>
  </si>
  <si>
    <t>(PRJ)_BOP_JUL - MANUTENÇÃO NA PAREDE DANIFICADA ASSEPSIA VISITANTES (MANUTENÇÃO REJUNTE E PINTURA DA PAREDE)</t>
  </si>
  <si>
    <t>7265151</t>
  </si>
  <si>
    <t>(PRJ)_BOP_JUL - REALIZAR A VEDAÇÃO CANALETA (DRILL, IN LINE 04, MESA SETUP FAS)</t>
  </si>
  <si>
    <t>7220150</t>
  </si>
  <si>
    <t>(PRJ)_BOP_MAI - SUBSTITUIR AS FITAS ANTIDERRAPANTES PRÓXIMAS A PIDM19/20 E NA ENTRADA DA SALA DA BOMBA DE VÁCUO DA PIDM09</t>
  </si>
  <si>
    <t>7260684</t>
  </si>
  <si>
    <t>(PRJ)_REALIZAR RETOQUES NA PINTURA DA MESA DA SALA DE CONTROLE - COBALTO</t>
  </si>
  <si>
    <t>7276192</t>
  </si>
  <si>
    <t>(PRJ)_MANCHAS NA PAREDE EM TODO LABORATÓRIO E SALA DE INFLAMÁVEIS, REALIZAR A PINTURA TOTAL</t>
  </si>
  <si>
    <t>7270032</t>
  </si>
  <si>
    <t>(PRJ)_COLOCAR ORGANIZADOR DE CABOS ELÉTRICOS/FIOS - COMPUTADOR SALA SEGUNDO FECHAMENTO</t>
  </si>
  <si>
    <t>7271570</t>
  </si>
  <si>
    <t>(PRJ)_REALIZAR A PINTURA TOTAL DA ÁREA DE RECEBIMENTO CENTRAL DE SOLUÇÕES</t>
  </si>
  <si>
    <t>7270055</t>
  </si>
  <si>
    <t>(PRJ)_BOP_JUL - REPARO/PINTURA EM MARCAS NA PAREDE NA ENTRADA DE SUTURAS, QUADRO DE GERENCIAMENTO VISUAL (REMOVER), TAMPAR BURACOS E REALIZAR PINTURA</t>
  </si>
  <si>
    <t>7270080</t>
  </si>
  <si>
    <t>(PRJ)_REFAZER A PINTURA MANCHADA DA PORTA DO ALÇAPÃO NA ÁREA ADM (DMPADM) MAM MEDTECH</t>
  </si>
  <si>
    <t>DMPADM</t>
  </si>
  <si>
    <t>ADM Depósito de Matéria Prima - MAM MedTech</t>
  </si>
  <si>
    <t>7270918</t>
  </si>
  <si>
    <t>(PRJ)_TROCAR SUPORTE DE ÁLCOOL PRÓXIMO A MESA DA CP DO 1°FECHAMENTO</t>
  </si>
  <si>
    <t>7270156</t>
  </si>
  <si>
    <t>(PRJ)_PEQUENA REFORMA - REALIZAR PEQUENOS REPAROS EM PISO E RODAPÉS DO CORREDOR DE ENTRADA PARA ACABAMENTO CATGUT</t>
  </si>
  <si>
    <t>7271580</t>
  </si>
  <si>
    <t>(PRJ)_REALIZAR A PINTURA INTERNA DAS ESTUFA DE FIOS 01/02/03</t>
  </si>
  <si>
    <t>7271567</t>
  </si>
  <si>
    <t>(PRJ)_REALIZAR A PINTURA TOTAL DA CONTENÇÃO CENTRAL DE SOLUÇÕES (IMPERMEABILIZAR)</t>
  </si>
  <si>
    <t>7270016</t>
  </si>
  <si>
    <t>(PRJ)_REALIZAR REPARO EM BOTÃO DANIFICADO (CAIXA INTERTRAVAMENTO PORTA DE SAÍDA DE RESÍDUOS)</t>
  </si>
  <si>
    <t>7269986</t>
  </si>
  <si>
    <t>(PRJ)_PINTAR AS RODINHAS DOS FLUXOS NO LAB.MICROBIOLOGIA (PROGRAMAR PARA DIA 03/08)</t>
  </si>
  <si>
    <t>7271562</t>
  </si>
  <si>
    <t>(PRJ)_REALIZAR A PINTURA DAS VÁLVULAS DA CENTRAL DE SOLUÇÕES (ESTAÇÃO DE CROMO MOVEL)</t>
  </si>
  <si>
    <t>APEC</t>
  </si>
  <si>
    <t>CENTRAL DE ESCRITORIOS - ADMINISTRAÇÃO MEDICAL (AREA NOVA)</t>
  </si>
  <si>
    <t>(PRJ)_INSTALAR TOMADA MAIS ALTA NA SALA DE SUPERVISORES EXTERNO (SALA DOS SUPERVISORES DA MANUTENÇÃO (CALIBRAÇÃO/ELÉTRICA/MECÂNICA)</t>
  </si>
  <si>
    <t>7270063</t>
  </si>
  <si>
    <t>(PRJ)_BOP_JUL - MANCHAS NA PAREDE DA OFICINA, PAREDE DE TODA A SALA DA OFINICA DE MANUTENÇÃO ESTÃO MANCHADAS/SUJAS, REPARAR SE POSSÍVEL COM TINTA  EPÓXI PARA FACILITAR À LIMPEZA</t>
  </si>
  <si>
    <t>(PRJ)_BOP_JUL - MANCHAS NA PAREDE DA OFICINA, PAREDE DE TODA A SALA DA OFINICA DE MANUTENÇÃO ESTÃO MANCHADAS/SUJAS, REPARAR SE POSSÍVEL COM TINTA  EPÓXI PARA FACILITAR À LIMPEZA
( * CLIENTE AVISOU PARA PROGRAMAR PARADA FINAL DO ANO *)</t>
  </si>
  <si>
    <t>7268304</t>
  </si>
  <si>
    <t>(PRJ)_ARAMES BOP_JUL - REPARO/PINTURA EM ARMÁRIO DA MANGUEIRA DE INCÊNDIO DANIFICADO</t>
  </si>
  <si>
    <t>7266961</t>
  </si>
  <si>
    <t>(PRJ)_REALIZAR A PINTURA DA ÁREA EXTERNA DA DOCA DA EMBALAGEM (RECEBIMENTO E EXPEDIÇÃO DE MATERIAIS) – PINTURA TOTAL</t>
  </si>
  <si>
    <t>7268340</t>
  </si>
  <si>
    <t>(PRJ)_EHS_REPARO EM PORTA DO GABINETE DA PIA TRAVANDO E MAÇANETA COM RISCO DE ESMAGAMENTO, ÁREA DA LAVAGEM</t>
  </si>
  <si>
    <t>7268376</t>
  </si>
  <si>
    <t>(PRJ)_TROCAR 2 FORROS DANIFICADOS NA SALA OVER FAVOR PINTAR OS 2 FORROS DE BRANCO E PASSAR VEDAÇÃO DE SILICONE</t>
  </si>
  <si>
    <t>7265542</t>
  </si>
  <si>
    <t>(PRJ)_BOP_JUL - REALIZAR PINTURA/TRATAMENTO ANTICORROSIVO EM OXIDAÇÃO NOS PARAFUSOS DA MÁQUINA VIDEO-JET</t>
  </si>
  <si>
    <t>7265547</t>
  </si>
  <si>
    <t>(PRJ)_BOP_JUL - REALIZAR A PINTURA TOTAL DA PAREDE DA FOIL INLINE</t>
  </si>
  <si>
    <t>7265550</t>
  </si>
  <si>
    <t>(PRJ)_BOP_JUL - INSTALAR MAIS DUAS LUMINÁRIAS NA FOIL1</t>
  </si>
  <si>
    <t>41</t>
  </si>
  <si>
    <t>IMPEDIMENTO - FERRAMENTA</t>
  </si>
  <si>
    <t>7268381</t>
  </si>
  <si>
    <t>(PRJ)_INSTALAR CANALETAS DE ENERGIA E PONTOS DE TOMADAS NA SALA DE CONTROLE DA EMBALAGEM (PROCURAR POR ANTÔNIO 2° TURNO)</t>
  </si>
  <si>
    <t>7266185</t>
  </si>
  <si>
    <t>(PRJ)_BOP_JUL - REPARO EM PAREDE COM BURACO NA HARAMURA, COLOCAR PLACA</t>
  </si>
  <si>
    <t>7266161</t>
  </si>
  <si>
    <t>(PRJ)_BOP_JUL - COLOCAR PLACA NA PAREDE ATRÁS DO COMPUTADOR DA TRANSFORME (PEQUENA)</t>
  </si>
  <si>
    <t>7266163</t>
  </si>
  <si>
    <t>(PRJ)_BOP_JUL - REALIZAR A PINTURA DO CARRINHO OXIDADO ATRAS DA TRANSFORMER</t>
  </si>
  <si>
    <t>7565899</t>
  </si>
  <si>
    <t>(PRJ)_VD - INSTALAR PONTO DE ENERGIA 220V NA SALA DE BATERIAS - PROCURAR VAGNER CELETE 1º TURNO</t>
  </si>
  <si>
    <t>0000008919-6251330103-7680-BR12</t>
  </si>
  <si>
    <t>7593855</t>
  </si>
  <si>
    <t>(PRJ)_VD 18562 INSTALAR LÂMPADA PARA MELHORAR ILUMINAÇÃO ANTECÂMARA PA TOUCADOR - PROCURAR TAMIRES 1º TURNO OU HEVELTON NO 2º TURNO</t>
  </si>
  <si>
    <t>057-010-003</t>
  </si>
  <si>
    <t xml:space="preserve"> DEPÓSITO DE TOUCADOR</t>
  </si>
  <si>
    <t>7587494</t>
  </si>
  <si>
    <t>(PRJ)_CBRE C5057 INSTALAR UM CONECTOR “T” COM ENGATE PARA MANGUEIRA, NA SAÍDA DE ÁGUA PARA INSTALAÇÃO DA MÁQUINA DE CAFÉ E PURIFICADOR DE ÁGUA. DÚVIDAS PROCURAR DOUGLAS DA CBRE (NA COPA DA CENTRAL 2)</t>
  </si>
  <si>
    <t>CARLOS ALMEIDA (CBRE)</t>
  </si>
  <si>
    <t>NOC- 307.053</t>
  </si>
  <si>
    <t>ORGANIZAR BOX CIVIL CMP</t>
  </si>
  <si>
    <t xml:space="preserve">ORGANIZAR BOX CIVIL CMP (SEXTA-FEIRA)  09/08/2024 </t>
  </si>
  <si>
    <t>NOC- 307.054</t>
  </si>
  <si>
    <t>ADEQUAÇÃO COOPER JOHNSON - PROPOSTA</t>
  </si>
  <si>
    <t>NOC - 307.055</t>
  </si>
  <si>
    <t>ACOMPANHAMENTO RL - DISPENSERS 08/08/24</t>
  </si>
  <si>
    <t>7597107</t>
  </si>
  <si>
    <t>(PRJ)_VM - REALIZAR RETRABALHO NA CHAPA DE PISO NA SALA DE COMANDO DA ETE</t>
  </si>
  <si>
    <t>(PRJ)_VM - REALIZAR RETRABALHO NA CHAPA DE PISO NA SALA DE COMANDO DA ETE
CC:0000008255-000000000-7680</t>
  </si>
  <si>
    <t>057-020-004-001</t>
  </si>
  <si>
    <t>SALA DE COMANDO</t>
  </si>
  <si>
    <t>AOLIVE30</t>
  </si>
  <si>
    <t>75579081 - ANDRE OLIVEIRA</t>
  </si>
  <si>
    <t>7193610</t>
  </si>
  <si>
    <t>(PRJ)_MANSERV+DSJ (Caminhão H²O) TROCAR REGISTRO DO HIDRANTE H-44 LOCALIZADO ENTRE ETO E ACABAMENTO DE SUTURAS</t>
  </si>
  <si>
    <t>(PRJ)_MANSERV+DSJ (Caminhão H²O) TROCAR REGISTRO DO HIDRANTE H-44 LOCALIZADO ENTRE ETO E ACABAMENTO DE SUTURAS
CC:0000008011-000000000-7680</t>
  </si>
  <si>
    <t>057-007-003-008</t>
  </si>
  <si>
    <t>SALA DE TREINAMENTO(MEZANINO)</t>
  </si>
  <si>
    <t>013063</t>
  </si>
  <si>
    <t>JUAREZ LOPES SILVA</t>
  </si>
  <si>
    <t>7277502</t>
  </si>
  <si>
    <t>(PRJ)_EHS&amp;S RETIRAR TOMADA INSTALADA PRÓXIMO AO TANQUE 02 DE CROMAÇÃO, WET ROOM</t>
  </si>
  <si>
    <t>(PRJ)_EHS&amp;S RETIRAR TOMADA INSTALADA PRÓXIMO AO TANQUE 02 DE CROMAÇÃO, WET ROOM
CC:1000000544-625133001-0000</t>
  </si>
  <si>
    <t xml:space="preserve"> P-2156(FAST)</t>
  </si>
  <si>
    <t xml:space="preserve"> P-2156(FAST)-PINTURA PISO ANTIGA ROTARY 11 BAND AID</t>
  </si>
  <si>
    <t xml:space="preserve"> P-2156(FAST)-PINTURA PISO ANTIGA ROTARY 11 BAND AID
</t>
  </si>
  <si>
    <t>INETO01</t>
  </si>
  <si>
    <t>IVO NETO</t>
  </si>
  <si>
    <t>7269812</t>
  </si>
  <si>
    <t>(PRJ)_(EM AVALIAÇÃO) GRANDE REFORMA - PINTAR TODAS AS PAREDES INTERNAS DO PROLENE MESH DE BRANCO</t>
  </si>
  <si>
    <t>(PRJ)_(EM AVALIAÇÃO) GRANDE REFORMA - PINTAR TODAS AS PAREDES INTERNAS DO PROLENE MESH DE BRANCO
CC:1000000550-625133001-0000</t>
  </si>
  <si>
    <t>7280092</t>
  </si>
  <si>
    <t>(PRJ)_INSTALAR ADAPTADOR P/MANGUEIRAS DE HIDRANTE NA VÁLVULA DE 2.1/2” NO HIDRANTE H-44 LOCALIZADO ENTRE ETO E ACABAMENTO DE SUTURAS</t>
  </si>
  <si>
    <t>(PRJ)_INSTALAR ADAPTADOR P/MANGUEIRAS DE HIDRANTE NA VÁLVULA DE 2.1/2” NO HIDRANTE H-44 LOCALIZADO ENTRE ETO E ACABAMENTO DE SUTURAS
CC:1000000548-625133001-0000</t>
  </si>
  <si>
    <t>7599122</t>
  </si>
  <si>
    <t>(PRJ)_CBRE C5196 P2 - COCÇÃO - REPARO EM TUBULAÇÃO DE VAPOR QUE ESTÁ C/VAZAMENTO, PRECISA DE REPARO, ÁREA DOS PANELÕES E COCÇÃO</t>
  </si>
  <si>
    <t>(PRJ)_CBRE C5196 P2 - COCÇÃO - REPARO EM TUBULAÇÃO DE VAPOR QUE ESTÁ C/VAZAMENTO, PRECISA DE REPARO, ÁREA DOS PANELÕES E COCÇÃO
CC:0000008242-000000000-7680</t>
  </si>
  <si>
    <t>GSANTO06</t>
  </si>
  <si>
    <t>GISELE SANTOS</t>
  </si>
  <si>
    <t>7600868</t>
  </si>
  <si>
    <t>(PRJ)_RETIRAR O QUADRO ELETRÔNICO DE COMUNICAÇÃO DA ANTIGA LOJINHA, RETIRAR QUADRO E SUPORTE POR COMPLETO</t>
  </si>
  <si>
    <t>(PRJ)_RETIRAR O QUADRO ELETRÔNICO DE COMUNICAÇÃO DA ANTIGA LOJINHA, RETIRAR QUADRO E SUPORTE POR COMPLETO
CC: 0000008642-000000000-7680</t>
  </si>
  <si>
    <t>057-019-003-004</t>
  </si>
  <si>
    <t>FACHADA DA LOJINHA E AMBULATÓRIO</t>
  </si>
  <si>
    <t>7281130</t>
  </si>
  <si>
    <t>(PRJ)_REPARO EM HIDRANTE APRESENTADNO VAZAMENTO, FABRICACAO AGULHAS ETHALOY</t>
  </si>
  <si>
    <t>(PRJ)_REPARO EM HIDRANTE APRESENTADNO VAZAMENTO, FABRICACAO AGULHAS ETHALOY
CC:1000013680-625133001-0000</t>
  </si>
  <si>
    <t>7605422</t>
  </si>
  <si>
    <t>(PRJ)_INSPEÇÃO/DEMOLIÇÃO DE SOLO - ABERTURA DE BURACO NO DEPÓSITO DE TOUCADOR II, ABERTURA DE BURACO NA ÁREA DE CIRCULAÇÃO DE EMPILHADEIRAS, POSSÍVEL CAIXA ELÉTRICA/TÚNEL, REALIZAR ABERTURA PARA INSPE</t>
  </si>
  <si>
    <t>(PRJ)_INSPEÇÃO/DEMOLIÇÃO DE SOLO - ABERTURA DE BURACO NO DEPÓSITO DE TOUCADOR II, ABERTURA DE BURACO NA ÁREA DE CIRCULAÇÃO DE EMPILHADEIRAS, POSSÍVEL CAIXA ELÉTRICA/TÚNEL, REALIZAR ABERTURA PARA INSPEÇÃO
CC:0000008227-000000000-7680</t>
  </si>
  <si>
    <t>VSOUZA01</t>
  </si>
  <si>
    <t xml:space="preserve">VANDER SOUZA </t>
  </si>
  <si>
    <t>7600870</t>
  </si>
  <si>
    <t>(PRJ)_RETIRAR POSTE DESATIVADO PRÓXIMO A FÁBRICA IV/RUA DO INFLAMÁVEIS E DESTINAR AO CMP (ESTÁ NO CHÃO)</t>
  </si>
  <si>
    <t>(PRJ)_RETIRAR POSTE DESATIVADO PRÓXIMO A FÁBRICA IV/RUA DO INFLAMÁVEIS E DESTINAR AO CMP (ESTÁ NO CHÃO)
CC:0000008227-000000000-7680</t>
  </si>
  <si>
    <t>057-010-008</t>
  </si>
  <si>
    <t xml:space="preserve"> DEPÓSITO DE INFLMÁVEIS</t>
  </si>
  <si>
    <t>7605512</t>
  </si>
  <si>
    <t>(PRJ)_MUDAR O BEBEDOURO DA COPA DE LANCHES DE POSIÇÃO, DEPÓSITO DE QUÍMICOS (ÁGUA POTÁVEL, UTILIZARÁ O MESMO PONTO, NECESSÁRIO RELOCAR TOMADA DE ALIMENTAÇÃO ELÉTRICA)</t>
  </si>
  <si>
    <t>(PRJ)_MUDAR O BEBEDOURO DA COPA DE LANCHES DE POSIÇÃO, DEPÓSITO DE QUÍMICOS (ÁGUA POTÁVEL, UTILIZARÁ O MESMO PONTO, NECESSÁRIO RELOCAR TOMADA DE ALIMENTAÇÃO ELÉTRICA)
CC:0000008227-000000000-7680</t>
  </si>
  <si>
    <t>057-010-002-001</t>
  </si>
  <si>
    <t xml:space="preserve"> ESCRITÓRIO DO CONTROLADOR</t>
  </si>
  <si>
    <t>7282062</t>
  </si>
  <si>
    <t>(PRJ)_EHS&amp;S - INSTALAR TOMADA 220V 10A - 2P+T ABNT NA ÁREA DO DECANTADOR (P/USO DA BOMBA DE DRENAGEM EM CASO DE DERRAMAMENTO DE SOLUÇÃO)</t>
  </si>
  <si>
    <t>(PRJ)_EHS&amp;S - INSTALAR TOMADA 220V 10A - 2P+T ABNT NA ÁREA DO DECANTADOR (P/USO DA BOMBA DE DRENAGEM EM CASO DE DERRAMAMENTO DE SOLUÇÃO)
CC: 1000000544-625133001-0000</t>
  </si>
  <si>
    <t>7282703</t>
  </si>
  <si>
    <t>(PRJ)_REALIZAR A INSTALAÇÃO DE FITAS ANTIDERRAPANTES - ÁREA DE ACABAMENTO DRILL</t>
  </si>
  <si>
    <t>(PRJ)_REALIZAR A INSTALAÇÃO DE FITAS ANTIDERRAPANTES - ÁREA DE ACABAMENTO DRILL
CC:1000013679-625133001-0000</t>
  </si>
  <si>
    <t>7282064</t>
  </si>
  <si>
    <t>(PRJ)_FORRAR SUPORTES DE BURETAS (2 UNI) COM ESPUMA E INSTALAR OS SUPORTES NA PAREDE DO LABORATÓRIO QUÍMICO</t>
  </si>
  <si>
    <t>(PRJ)_FORRAR SUPORTES DE BURETAS (2 UNI) COM ESPUMA E INSTALAR OS SUPORTES NA PAREDE DO LABORATÓRIO QUÍMICO
PARA RETIRAR OS 2 SUPORTES NO LAB.QUÍMICO DA MEDTECH COM A GIULIA GRANATO
CC:1000000534-625133001-0000</t>
  </si>
  <si>
    <t>GGRANAT1</t>
  </si>
  <si>
    <t>GIULIA GRANATO</t>
  </si>
  <si>
    <t>NOC - 307.085</t>
  </si>
  <si>
    <t>ACOMPANHAMENTO RL - DISPENSERS 15/08/24</t>
  </si>
  <si>
    <t>7607124</t>
  </si>
  <si>
    <t>(PRJ)_REALIZAR A PINTURA COMPLETA NA COPA DA CENTRAL 2, REPARO EM TRECHOS MANCHADOS, BURACOS, CORTE NO FORRO E RETIRADA DE ADESIVO NA PAREDE E PINTURA TOTAL NA COR BRANCA (ATRÁS DOS SOFÁS)/EXECUTAR NA</t>
  </si>
  <si>
    <t>(PRJ)_REALIZAR A PINTURA COMPLETA NA COPA DA CENTRAL 2, REPARO EM TRECHOS MANCHADOS, BURACOS, CORTE NO FORRO E RETIRADA DE ADESIVO NA PAREDE E PINTURA TOTAL NA COR BRANCA (ATRÁS DOS SOFÁS)/EXECUTAR NA SEXTA-FEIRA E SÁBADO
CC:0000008201-000000000-7680</t>
  </si>
  <si>
    <t>057-012-060</t>
  </si>
  <si>
    <t>COPINHA</t>
  </si>
  <si>
    <t>7254933</t>
  </si>
  <si>
    <t>(PRJ)_EHS&amp;S - TRAVAR A TAMPA DA CALHA DE ÓLEO NO PISO - FABRICAÇÃO DE AGULHAS INDEX</t>
  </si>
  <si>
    <t>7262758</t>
  </si>
  <si>
    <t>(PRJ)_SUBSTITUIR A BORRACHA NA BASE DA PORTA AUTOMÁTICA EM FRENTE AO LAGO - LADO EXTERNO</t>
  </si>
  <si>
    <t>7262228</t>
  </si>
  <si>
    <t>(PRJ)_BOP-JUL - TROCAR RODÍZIOS ENFERRUJADOS NOS CARRINHOS DA CENTRAL DE SOLUÇÕES, CATGUT</t>
  </si>
  <si>
    <t>7265137</t>
  </si>
  <si>
    <t>(PRJ)_BOP_JUL - MESA SEM PEZINHO. COLOCAR NOVOS PÉS FIOS TEXTEIS EXTERNO</t>
  </si>
  <si>
    <t>7264609</t>
  </si>
  <si>
    <t>(PRJ)_INSTALAR STOP/LIMITADOR NA PORTA PEQUENA PASSTROUGHT DC-VAULT, LOCALIZADO AO LADO DA MESA DE BALANÇA DO DC, RISCO DE BATER A PORTA NA BALANÇA</t>
  </si>
  <si>
    <t>7284122</t>
  </si>
  <si>
    <t>(PRJ)_INSTALAR VEDA-FRESTA NA PARTE SUPERIOR DA PORTA DE ACESSO AO VESTIÁRIO DO BONEWAX</t>
  </si>
  <si>
    <t>7280072</t>
  </si>
  <si>
    <t>(PRJ)_REALIZAR A FIXAÇÃO DE DISPENSER ÁLCOOL EM GEL - BEBEDOURO CORREDOR AGULHAS</t>
  </si>
  <si>
    <t>7281133</t>
  </si>
  <si>
    <t>(PRJ)_REALIZAR A INSTALAÇÃO DE 03 SUPORTES P/EXTINTOR NA PAREDE, NO CORREDOR DO ESCRITÓRIOS DE AGULHAS</t>
  </si>
  <si>
    <t>7284169</t>
  </si>
  <si>
    <t>(PRJ)_PINTURA DANIFICADA DO CARRINHO ZELOSO, DEP.SEROSA (R02) MAM MEDTECH, REALIZAR A PINTURA GERAL DO CARRINHO</t>
  </si>
  <si>
    <t>R02</t>
  </si>
  <si>
    <t>Depósito Serosa - MAM MedTech</t>
  </si>
  <si>
    <t>7282823</t>
  </si>
  <si>
    <t>(PRJ)_INSTALAR VASSOURINHA DE VEDA-FRESTA NA PARTE INFERIOR DA PORTA DE ACESSO AO VESTIÁRIO DO BONEWAX</t>
  </si>
  <si>
    <t>7280083</t>
  </si>
  <si>
    <t>(PRJ)_REALIZAR A PINTURA DOS MOTORES DAS BOMBAS TANQUES DA ÁREA EXTERNA CATGUT</t>
  </si>
  <si>
    <t>7280084</t>
  </si>
  <si>
    <t>(PRJ)_REALIZAR A PINTURA DOS MOTORES DA CAPELA ESTAÇÃO TRATAMENTO DE CROMO</t>
  </si>
  <si>
    <t>7280085</t>
  </si>
  <si>
    <t>(PRJ)_REALIZAR A PINTURA TOTAL DO PISO DAS CONTENÇÕES DA ÁREA EXTERNA CATGUT</t>
  </si>
  <si>
    <t>7277501</t>
  </si>
  <si>
    <t>(PRJ)_TROCAR BOTÃO DE ACIONAMENTO DA PORTA AUTOMÁTICA CENTRAL DE SOLUÇÕES</t>
  </si>
  <si>
    <t>7279776</t>
  </si>
  <si>
    <t>(PRJ)_REALIZAR A ALTERAR DA LOCALIZAÇÃO DO SUPORTE DE PERFEX (PIDM)</t>
  </si>
  <si>
    <t>7277506</t>
  </si>
  <si>
    <t>(PRJ)_REALIZAR A PINTURA DA TUBULAÇÃO VAMP ESTOQUE CENTRAL DE SOLUÇÕES</t>
  </si>
  <si>
    <t>7277498</t>
  </si>
  <si>
    <t>(PRJ)_REALIZAR A PINTURA DOS AGITADORES DE BANCADA CENTRAL DE SOLUÇÕES, CATGUT</t>
  </si>
  <si>
    <t>7279775</t>
  </si>
  <si>
    <t xml:space="preserve">(PRJ)_ENDO - MUDAR DE LOCAL 4 DINAMOMETROS P/ OUTRAS BANCADAS, ACAB.SUTURAS (INSTALAR/VERIFICAR TENSÃO DAS TOMADAS DUTOTEC – 03 TOMADAS) BANCADAS ATUAL: 20, 22, 23 E 24 EQUIPAMENTOS P/BANCADAS </t>
  </si>
  <si>
    <t>(PRJ)_ENDO - MUDAR DE LOCAL 4 DINAMOMETROS P/ OUTRAS BANCADAS, ACAB.SUTURAS (INSTALAR/VERIFICAR TENSÃO DAS TOMADAS DUTOTEC – 03 TOMADAS) BANCADAS ATUAL: 20, 22, 23 E 24 EQUIPAMENTOS P/BANCADAS 26, 28, 30 E 31</t>
  </si>
  <si>
    <t>7276140</t>
  </si>
  <si>
    <t>(PRJ)_EHS&amp;S CONFECCIONAR PROTEÇÃO P/QUINA DO EXAUSTOR</t>
  </si>
  <si>
    <t>7277432</t>
  </si>
  <si>
    <t>(PRJ)_REALIZAR A FIXAÇÃO NA PAREDE DE SUPORTE PARA VASSOURAS - PIDM AGULHAS</t>
  </si>
  <si>
    <t>ADESOUS1</t>
  </si>
  <si>
    <t>AUGUSTO PEREIRA</t>
  </si>
  <si>
    <t>7277509</t>
  </si>
  <si>
    <t>(PRJ)_CBRE C10375829 REALIZAR A PINTURA DOS DOIS CONJUNTOS DE MOTOBOMBA DE ÁGUA GELADA DO CHILLER 0004 NO PRÉDIO B9/ITS</t>
  </si>
  <si>
    <t>7277529</t>
  </si>
  <si>
    <t>(PRJ)_ALTERAR POSICIONAMENTO DA BANCADA DA MORSA, NA ÁREA DE ACABAMENTO DE AGULHAS N.02 (NEWTON) - PROCURAR JOSÉ MENINO/FERNANDA MENDES/FARNEY FLORES</t>
  </si>
  <si>
    <t>7277505</t>
  </si>
  <si>
    <t>(PRJ)_FAZER NOVA DEMARCAÇÃO NO PISO DA SALA DE RECUPERAÇÃO DE LACINHOS</t>
  </si>
  <si>
    <t>7276890</t>
  </si>
  <si>
    <t>(PRJ)_FIXAR SUPORTE DE NORMAS NAS PAREDES DA EMBALAGEM E GRÁFICA</t>
  </si>
  <si>
    <t>MGUIMAR8</t>
  </si>
  <si>
    <t>MURILO GUIMARAES</t>
  </si>
  <si>
    <t>7271616</t>
  </si>
  <si>
    <t>(PRJ)_CORRIGIR AS ALÇAS DAS 2 MALETAS DE MONITORAMENTO (QUEBRADAS), AS MALETAS PODEM SER RETIRADAS DO LABORATORIO PARA MANUTENÇÃO (LAB.MICRO)</t>
  </si>
  <si>
    <t>7269810</t>
  </si>
  <si>
    <t>(PRJ)_GRANDE REFORMA - RETIRAR EXCESSO DE SILICONE DOS FORROS E PINTURA (ASSEPSIA E PASSTHROUGH DO PROLENE MESH)</t>
  </si>
  <si>
    <t>EFPMSLA01</t>
  </si>
  <si>
    <t>SALA DE ASSEPSIA - PROLENE MESH</t>
  </si>
  <si>
    <t>7266978</t>
  </si>
  <si>
    <t>(PRJ)_PINTAR NOVA DEMARCAÇÃO DE EXTINTOR NA ÁREA DA DOCA DA EMBALAGEM PRÓXIMO A PORTA DE SAÍDA DE PRODUTOS, AO LADO DA CAÇAMBA DE DESCARTE DE PAPELÃO</t>
  </si>
  <si>
    <t>7257768</t>
  </si>
  <si>
    <t>(PRJ)_PIDM - EFETUAR INSPEÇÃO DIÁRIA, LIMPEZA E PREVENTIVA EM EQUIPAMENTOS DE AR-CONDICIONADO NA ÁREA DE PIDM – AGO2024</t>
  </si>
  <si>
    <t>7284126</t>
  </si>
  <si>
    <t>(PRJ)_PC553224061 P-2144 CONTRATAÇÃO MO MANSERV 2 COLABORADORES POR 2 DIAS P/DEMANDAS NO FLEX SPACE/MEDTECH - CAR32017/APOIO PROJETO BEE-BRAZIL</t>
  </si>
  <si>
    <t>(PRJ)_PC553224061 P-2144 CONTRATAÇÃO MO MANSERV 2 COLABORADORES POR 2 DIAS P/DEMANDAS NO FLEX SPACE/MEDTECH - CAR32017/APOIO PROJETO BEE-BRAZIL
PROCURAR PAULO TELLES (21 99939-8288)
CC:1000002862-625133001-0000</t>
  </si>
  <si>
    <t>7599045</t>
  </si>
  <si>
    <t xml:space="preserve">(PRJ)_CBRE C5174 REALIZAR A PINTURA DA PORTA DA SALA DO CRACHÁ PARA PADRONIZAR COM AS DEMAIS PORTAS NA COR BRANCA (PINTURA TOTAL), REALIZAR A PINTURA DA PAREDE </t>
  </si>
  <si>
    <t>(PRJ)_CBRE C5174 REALIZAR A PINTURA DA PORTA DA SALA DO CRACHÁ PARA PADRONIZAR COM AS DEMAIS PORTAS NA COR BRANCA (PINTURA TOTAL), REALIZAR A PINTURA DA PAREDE C/MANCHAS DENTRO DA SALA DO CRACHÁ, ALINHAR COM FERNANDA (CBRE) NO LOCAL</t>
  </si>
  <si>
    <t>057-019-002-001</t>
  </si>
  <si>
    <t>ÁREA DA CONFECÇÃO DE CRACHÁ</t>
  </si>
  <si>
    <t>FNEVES3</t>
  </si>
  <si>
    <t>MARIA FERNANDA NEVES</t>
  </si>
  <si>
    <t>7608892</t>
  </si>
  <si>
    <t>(PRJ)_VM EHS&amp;S - REPARO EM CHUVEIRO LAVA OLHOS GOTEJANDO ÁGUA E COM REGISTRO FECHADO – DEP.QUIMICOS</t>
  </si>
  <si>
    <t>057-010-002-004</t>
  </si>
  <si>
    <t>7575877</t>
  </si>
  <si>
    <t>(PRJ)_CBRE C5017 SOLDAR A PEÇA DA CANCELA NÚMERO 7, OS PINOS QUEBRARAM, PEÇA SE ENCONTRA COM O TIME DA PROTECK NA CENTRAL DE SEGURANÇA (PATRIMONIAL, LEVAR A OFICINA DE SOLDA NO CMP)</t>
  </si>
  <si>
    <t>7608697</t>
  </si>
  <si>
    <t>(PRJ)_CBRE C5229 CORREDOR DO VESTIÁRIO - FOI REMOVIDO O QUADRO DE CREDO (J&amp;J), DANIFICANDO A PAREDE, NECESSÁRIO TAMPAR OS BURACOS E PINTAR A PAREDE</t>
  </si>
  <si>
    <t>057-024-018</t>
  </si>
  <si>
    <t>CORREDOR DOS VESTIÁRIOS</t>
  </si>
  <si>
    <t>7284176</t>
  </si>
  <si>
    <t>(PRJ)_REALIZAR A REMOÇÃO DE UMA PEQUENA COBERTURA (PROVISÓRIA) SOBRE O PAINEL ELÉTRICO, DEP.QUÍMICO 2 (R07) MAM MEDTECH</t>
  </si>
  <si>
    <t>7281064</t>
  </si>
  <si>
    <t>(PRJ)_RETIRAR RODAPÉ DA ANTIGA PORTA AUTOMÁTICA NA ÁREA DA EMBALAGEM</t>
  </si>
  <si>
    <t>(PRJ)_RETIRAR RODAPÉ DA ANTIGA PORTA AUTOMÁTICA NA ÁREA DA EMBALAGEM
CC:1000000547-625133001-0000</t>
  </si>
  <si>
    <t>7284374</t>
  </si>
  <si>
    <t>(PRJ)_SUPORTE P/MOBILIZAÇÃO E DESBOBILIZAÇÃO DE CADEIRAS NO - FLEX SPACE (SÁBADO, DIA 17/AGO)</t>
  </si>
  <si>
    <t>(PRJ)_SUPORTE P/MOBILIZAÇÃO E DESBOBILIZAÇÃO DE CADEIRAS NO - FLEX SPACE (SÁBADO, DIA 17/AGO)
CC:1000002862-625133001-0000</t>
  </si>
  <si>
    <t>7600806</t>
  </si>
  <si>
    <t>(PRJ)_VD - CONFECCIONAR 01 ESQUADRIA P/PRENDER FILTROS MANTA DO FANCOIL DA FÁBRICA (CONFECCIONAR 01 P/TESTE)</t>
  </si>
  <si>
    <t>(PRJ)_VD - CONFECCIONAR 01 ESQUADRIA P/PRENDER FILTROS MANTA DO FANCOIL DA FÁBRICA (CONFECCIONAR 01 P/TESTE)
CC:0000008258-000000000-7680</t>
  </si>
  <si>
    <t>7282822</t>
  </si>
  <si>
    <t>SUPORTE PARA MANTER PORTA DE ACESSO AO CORREDOR PRINCIPAL ABERTA - QUEBRADO. NECESSÁRIO PARAFUSO PASSANTE LIBERADO DE SEGUNDA A SEXTA SEM RESTRIÇÃO DE HORARIO</t>
  </si>
  <si>
    <t>SUPORTE PARA MANTER PORTA DE ACESSO AO CORREDOR PRINCIPAL ABERTA - QUEBRADO. NECESSÁRIO PARAFUSO PASSANTE LIBERADO DE SEGUNDA A SEXTA SEM RESTRIÇÃO DE HORARIO
CC:1000000548-625133001-0000</t>
  </si>
  <si>
    <t>7612140</t>
  </si>
  <si>
    <t>(PRJ)_TRAZER NOVA MÁQUINA DE CAFÉ DA CENTRAL 1/SALA DA GRANCOFFEE PARA CENTRAL 2 (COPA), EXECUTAR DEMANDA EM 19ago</t>
  </si>
  <si>
    <t>(PRJ)_TRAZER NOVA MÁQUINA DE CAFÉ DA CENTRAL 1/SALA DA GRANCOFFEE PARA CENTRAL 2 (COPA), EXECUTAR DEMANDA EM 19ago
PROCURAR BRUNA DA CBRE NA CENTRAL PARA ABRIR A SALA DE CAFÉ NA CENTRAL 1 / TÉRREO.
CC:0000008201-000000000-7680</t>
  </si>
  <si>
    <t>7617566</t>
  </si>
  <si>
    <t>(PRJ)_APOIO P/INSTALAR EXTENSÃO 32A TRIFÁSICA PROVISÓRIA P/EXAUSTOR PARA P-IMECH, ATIVIDADE DE REFORMA DO PISO DA CÂMARA FRIA</t>
  </si>
  <si>
    <t>(PRJ)_APOIO P/INSTALAR EXTENSÃO 32A TRIFÁSICA PROVISÓRIA P/EXAUSTOR PARA P-IMECH, ATIVIDADE DE REFORMA DO PISO DA CÂMARA FRIA
CC:0000008242-000000000-7680</t>
  </si>
  <si>
    <t>7285407</t>
  </si>
  <si>
    <t>BOP-CATGUT-AGOSTO- TROCAR RODINHAS ENFERRUJADAS CARRINHOS DA  ESTAÇÃO TRATAMENTO DE CROMO</t>
  </si>
  <si>
    <t>BOP-CATGUT-AGOSTO- TROCAR RODINHAS ENFERRUJADAS CARRINHOS DA  ESTAÇÃO TRATAMENTO DE CROMO
CC:1000000544-625133001-0000</t>
  </si>
  <si>
    <t>7285394</t>
  </si>
  <si>
    <t>(PRJ)_BOP_AGO CATGUT_REALIZAR A PINTURA NOS EXASTORES ESTAÇÃO TRATAMENTO DE CROMO (LIBERADO SEG A SEX/EXCETO TER E QUA)</t>
  </si>
  <si>
    <t>(PRJ)_BOP_AGO CATGUT_REALIZAR A PINTURA NOS EXASTORES ESTAÇÃO TRATAMENTO DE CROMO (LIBERADO SEG A SEX/EXCETO TER E QUA)
CC:1000000544-625133001-0000</t>
  </si>
  <si>
    <t>7284183</t>
  </si>
  <si>
    <t>(PRJ)_CONTROLE DE PRAGAS - CATGUT- REALOCAR ARMADILHA LUMINOSA 16 WETROOM, NECESSÁRIO INSTALAR + 1 TOMADA P/ALIMENTAR A ARMADILHA NO LOCAL</t>
  </si>
  <si>
    <t>(PRJ)_CONTROLE DE PRAGAS - CATGUT- REALOCAR ARMADILHA LUMINOSA 16 WETROOM, NECESSÁRIO INSTALAR + 1 TOMADA P/ALIMENTAR A ARMADILHA NO LOCAL
CC:1000000544-625133001-0000</t>
  </si>
  <si>
    <t>7285306</t>
  </si>
  <si>
    <t>(PRJ)_REALIZAR A RETIRADA E FIXAÇÃO DE ITENS NA PAREDE (TV, RELÓGIO, EXTINTORES, CAIXA DE LOTO)</t>
  </si>
  <si>
    <t>(PRJ)_REALIZAR A RETIRADA E FIXAÇÃO DE ITENS NA PAREDE (TV, RELÓGIO, EXTINTORES, CAIXA DE LOTO)
CC:1000000514-625133001-0000</t>
  </si>
  <si>
    <t>(PRJ)_PC553227298 - P-2132 CBRE C3817 REALIZAR REPARO OU TROCA DO GONGO DA VG 53, ESTÁ INOPERANTE  - DPA – DOCAS 22 E 23 – ÁREA EXTERNA</t>
  </si>
  <si>
    <t>(PRJ)_PC553227298 - P-2132 CBRE C3818 REALIZAR REPARO OU TROCA DO GONGO DA VG 54, ESTÁ INOPERANTE  - DPA – DOCAS 05 A 18 23 – ÁREA EXTERNA, AO LADO DA OFICINA DO DPA</t>
  </si>
  <si>
    <t>(PRJ)_PC553227298 - P-2132 CBRE C3819 REALIZAR REPARO OU TROCA DO GONGO DA VG 55, ESTÁ INOPERANTE  - DPA PRÓXIMO A ÁREA DE INFLAMÁVEIS</t>
  </si>
  <si>
    <t>7285956</t>
  </si>
  <si>
    <t>(PRJ)_AVALIAR CIRCUITO 2QD2GE 220V C09 PARA SUBSTITUIÇÃO DE TOMADA 10A POR TOMADA 2P+T ABNT 20A NA ÁREA DE MICROBIOLOGIA (ESTUFAS DE BANCADA)</t>
  </si>
  <si>
    <t>(PRJ)_AVALIAR CIRCUITO 2QD2GE 220V C09 PARA SUBSTITUIÇÃO DE TOMADA 10A POR TOMADA 2P+T ABNT 20A NA ÁREA DE MICROBIOLOGIA (ESTUFAS DE BANCADA)
CC:1000000534-625133001-0000</t>
  </si>
  <si>
    <t>7282082</t>
  </si>
  <si>
    <t>(PRJ)_LUMINARIA C/MAU CONTATO, LÂMPADA PISCANDO, ESTÁ ATRAPALHANDO O PROCESSO EM CIMA BM1417/FOI INSTALADA RECENTEMENTE PELO PROJETO</t>
  </si>
  <si>
    <t>(PRJ)_LUMINARIA C/MAU CONTATO, LÂMPADA PISCANDO, ESTÁ ATRAPALHANDO O PROCESSO EM CIMA BM1417/FOI INSTALADA RECENTEMENTE PELO PROJETO
CC:1000000547-625133001-0000</t>
  </si>
  <si>
    <t>7620972</t>
  </si>
  <si>
    <t>(PRJ)_ADEQUAR INFRAESTRUTURA ELÉTRICA (REMOVER CONDUÍTES E ILUMINAÇÃO) E DEIXAR PONTO DE ALIMENTAÇÃO P/PORTA RAYFLEX NA DOCA DO RESTAURANTE (VER DETALHES PARA INFRA NA CONFIRMAÇÃO TÉCNICA DE PEDIDOS D</t>
  </si>
  <si>
    <t>(PRJ)_ADEQUAR INFRAESTRUTURA ELÉTRICA (REMOVER CONDUÍTES E ILUMINAÇÃO) E DEIXAR PONTO DE ALIMENTAÇÃO P/PORTA RAYFLEX NA DOCA DO RESTAURANTE (VER DETALHES PARA INFRA NA CONFIRMAÇÃO TÉCNICA DE PEDIDOS DA RAYFLEX)
CC:0000008242-000000000-7680</t>
  </si>
  <si>
    <t>7621006</t>
  </si>
  <si>
    <t>(PRJ)_CONFECCIONAR BASE DE CONCRETO PARA INSTALAR NOVO POSTE NA FRENTE DA FÁBRICA DE SANPRO0</t>
  </si>
  <si>
    <t>(PRJ)_CONFECCIONAR BASE DE CONCRETO PARA INSTALAR NOVO POSTE NA FRENTE DA FÁBRICA DE SANPRO
CC:0000008243-000000000-7680</t>
  </si>
  <si>
    <t>NOC - 307.140</t>
  </si>
  <si>
    <t>ACOMPANHAMENTO RL - DISPENSERS 22/08/24</t>
  </si>
  <si>
    <t>7621041</t>
  </si>
  <si>
    <t>(PRJ)_VD - MONTAGEM DE ANDAIME RETIRADA DE VAZAMENTO DE CONDESANDO</t>
  </si>
  <si>
    <t>(PRJ)_VD - MONTAGEM DE ANDAIME RETIRADA DE VAZAMENTO DE CONDESANDO
CC:0000008257-000000000-7680</t>
  </si>
  <si>
    <t>AFERRAZ2</t>
  </si>
  <si>
    <t>AKAUAN FERRAS</t>
  </si>
  <si>
    <t>7286647</t>
  </si>
  <si>
    <t>(PRJ)_BOP_AGO CATGUT, PINTURA DA TUBULAÇÃO DE ÁGUA DAS MESAS DA DESSALGA (PARTE DE BAIXO DA PRATELEIRA DE SECAGEM)</t>
  </si>
  <si>
    <t>7285967</t>
  </si>
  <si>
    <t>(PRJ)_BOP_AGO - SUBSTITUIR A BORRACHA DE FORRAÇÃO DA ESTENTE DE ARMAZENAMENTO DE CESTOS - CANAL 420</t>
  </si>
  <si>
    <t>7285970</t>
  </si>
  <si>
    <t>(PRJ)_BOP_AGO - EFETUAR A PINTURA NAS TUBULAÇÕES DE GASES DO FORNO A VÁCUO - ACABAMENTO DRILL</t>
  </si>
  <si>
    <t>7285992</t>
  </si>
  <si>
    <t>(PRJ)_BOP_AGO - EFETUAR A PINTURA NOS CONDULETES ELÉTRICOS E DE AR COMPRIMIDO - INDEX</t>
  </si>
  <si>
    <t>7285966</t>
  </si>
  <si>
    <t>(PRJ)_BOP_AGO - EFETUAR A LIMPEZA NAS GRELHA DE RETORNO DE AR ACIMA DA OK14 - CANAL 420</t>
  </si>
  <si>
    <t>7286107</t>
  </si>
  <si>
    <t>(PRJ)_EHS&amp;S - INSTALAR ESPELHO CONVEXO PRÓXIMO DA SAÍDA DA FÁBRICA DE CATGUT</t>
  </si>
  <si>
    <t>7285979</t>
  </si>
  <si>
    <t>(PRJ)_BOP_AGO CATGUT - REALIZAR A PINTURA E REPARO NA PARTE EXTERNA DA ESTUFA DE DENATURAÇÃO</t>
  </si>
  <si>
    <t>7285980</t>
  </si>
  <si>
    <t>(PRJ)_BOP_AGO - EFETUAR A PINTURA NAS ESTANTES METÁLICAS PRÓXIMAS A UNIDADE DE LAVAGEM UL01 - ACABAMENTO DRILL</t>
  </si>
  <si>
    <t>7285982</t>
  </si>
  <si>
    <t>(PRJ)_BOP_AGO - EFETUAR A PINTURA NAS TUBULAÇÕES DE EXAUSTÃO DE ÁCIDO DAS STATICS - ACABAMENTO DRILL</t>
  </si>
  <si>
    <t>7285988</t>
  </si>
  <si>
    <t>(PRJ)_BOP_AGO - REFORMAR A ESTANTE PRÓXIMO AO FORNO LINDBERG FR05 - ACABAMENTO DRILL</t>
  </si>
  <si>
    <t>7286036</t>
  </si>
  <si>
    <t>(PRJ)_BOP_AGO - CATGUT, REALIZAR A PINTURA DAS BASES DOS CONDUTORES DOS COMPUTADORES</t>
  </si>
  <si>
    <t>7286048</t>
  </si>
  <si>
    <t>(PRJ)_BOP_AGO - REALIZAR A PINTURA E REPARO NA PARTE INTERNA DA ESTUFA DE DENATURAÇÃO 01</t>
  </si>
  <si>
    <t>7285312</t>
  </si>
  <si>
    <t>(PRJ)_REALIZAR REPARO EM PORTA ÁRMARIO DESALINHADA SALA EPOXI - ACABAMENTO DE SUTURAS</t>
  </si>
  <si>
    <t>7285951</t>
  </si>
  <si>
    <t>(PRJ)_BOP_AGO - EFETUAR PINTURA NA ESCADA DE ACESSO AO MEZANINO DO FORNO A VÁCUO - ACABAMENTO DRILL</t>
  </si>
  <si>
    <t>7285928</t>
  </si>
  <si>
    <t>(PRJ)_REALIZAR REPARO EM GRELHAS DE INSUFLAMENTO QUEBRADA NA ÁREA DA EMBALAGEM</t>
  </si>
  <si>
    <t>7285921</t>
  </si>
  <si>
    <t>(PRJ)_BOP_AGO - EFETUAR PINTURA NAS BASES DO ESMERIL E MORSA - ESTAMPAGEM OFTÁLMICA</t>
  </si>
  <si>
    <t>7285931</t>
  </si>
  <si>
    <t>(PRJ)_REALIZAR A INSTALAÇÃO DE 2 LUMINÁRIAS NOVAS BM1417 - PRENSA DE CORTE ROTATIVO TERMINAL 4UP E 6UP</t>
  </si>
  <si>
    <t>7285949</t>
  </si>
  <si>
    <t>(PRJ)_BOP_AGO - EFETUAR PINTURA NOS DUTOS DE EXAUSTÃO - SILICONIZAÇÃO</t>
  </si>
  <si>
    <t>7285901</t>
  </si>
  <si>
    <t>(PRJ)_INSTALAR GUARD RAIL NA ÁREA EXTERNA PRÓXIMO AOS TAMBORES DE DESCARTE DE METAL - MATERIAL SE ENCONTRA C/MáRIO CAETANO (PRECISA RETRABALHAR ANTES DA INSTALAÇÃO)</t>
  </si>
  <si>
    <t>7285277</t>
  </si>
  <si>
    <t>(PRJ)_BOP_AGO - EFETUAR A PINTURA TOTAL NO PISO E BANCADAS DO BOX DE SILICONE (BOX 02 - ARMAZENAMENTO DE SILICONE)</t>
  </si>
  <si>
    <t>(PRJ)_BOP_AGO - EFETUAR A PINTURA TOTAL NO PISO E BANCADAS DO BOX DE SILICONE (BOX 02 - ARMAZENAMENTO DE SILICONE)
      ( PARADA FINAL DO ANO )</t>
  </si>
  <si>
    <t>AGUBOX02</t>
  </si>
  <si>
    <t>BOX 02 - ARMAZENAMENTO DE SILICONE</t>
  </si>
  <si>
    <t>7285278</t>
  </si>
  <si>
    <t>(PRJ)_BOP_AGO - EFETUAR A PINTURA TOTAL NO PISO E BANCADAS DO BOX DE ÁCIDO (BOX 03 - ARMAZENAMENTO DE ÁCIDO)</t>
  </si>
  <si>
    <t>(PRJ)_BOP_AGO - EFETUAR A PINTURA TOTAL NO PISO E BANCADAS DO BOX DE ÁCIDO (BOX 03 - ARMAZENAMENTO DE ÁCIDO)
( PARADA FINAL DO ANO )</t>
  </si>
  <si>
    <t>AGUBOX03</t>
  </si>
  <si>
    <t>BOX 03 - ARMAZENAMENTO DE ÁCIDO</t>
  </si>
  <si>
    <t>7285285</t>
  </si>
  <si>
    <t>(PRJ)_BOP_AGO - EFETUAR A PINTURA TOTAL NO PISO DO POSTO AVANÇADO DE RESÍDUOS</t>
  </si>
  <si>
    <t>PAVAGU</t>
  </si>
  <si>
    <t>POSTO AVANÇADO DA FABRICA DE AGULHAS</t>
  </si>
  <si>
    <t>7284816</t>
  </si>
  <si>
    <t>(PRJ)_BOP_AGO - REALIZAR A INSTALAÇÃO DE CANTONEIRAS NA ENTRADA DO GLOVER BOX1</t>
  </si>
  <si>
    <t>7284121</t>
  </si>
  <si>
    <t>(PRJ)_EHS&amp;S EV-010963 REPARO EM CABO DE REDE SOLTO NO CHÃO, NO COMPUTADOR AO LADO DO GLOVEBOX  EM FIOS TEXTEIS INTERNO</t>
  </si>
  <si>
    <t>7284807</t>
  </si>
  <si>
    <t>(PRJ)_BOP_AGO - COLOCAR VASSOURINHA DE VEDAÇÃO NA PORTA DO PASSTROUGHT DC/DEPÓSITO ENCASTOAMENTO</t>
  </si>
  <si>
    <t>7284838</t>
  </si>
  <si>
    <t>(PRJ)_BOP_AGO - REALIZAR A RETIRADA DO SUPORTE DE GESTÃO DE IDÉIAS E FAZER MANUTENÇÃO E PINTURA DA PAREDE, COPA DA FÁBRICA DE SUTURAS</t>
  </si>
  <si>
    <t>7284841</t>
  </si>
  <si>
    <t>(PRJ)_BOP_AGO - MANUTENÇÃO DO APOIO DE ALTURA DE MADEIRA NO BANHEIRO E ASSEPSIA FEMININO</t>
  </si>
  <si>
    <t>7282824</t>
  </si>
  <si>
    <t>(PRJ)_TROCAR AS LÂMPADAS AMARELAS POR BRANCAS - EM CIMA DO HOTROOM 1</t>
  </si>
  <si>
    <t>7284809</t>
  </si>
  <si>
    <t>(PRJ)_BOP_AGO - FIXAR/REPARAR PAPEL DE PAREDE SOLTO AO LADO DA PORTA EPOXI</t>
  </si>
  <si>
    <t>7284400</t>
  </si>
  <si>
    <t>(PRJ)_REALIZAR A INSTALAÇÃO DE MÃO FRANCESA P/SUPORTE DE DESMAGNETIZADOR - FABRICAÇÃO DE AGULHAS PIDM</t>
  </si>
  <si>
    <t>7284313</t>
  </si>
  <si>
    <t>(PRJ)_REALIZAR A VEDAÇÃO COM SILICONE NAS FRESTAS DOS FORROS DO COBALTO</t>
  </si>
  <si>
    <t>7284806</t>
  </si>
  <si>
    <t>(PRJ)_BOP_AGO - COLOCAR VASSOURINHA DE VEDAÇÃO NA PORTA DO PASSTROUGHT DA GRÁFICA E PORTA DE EMERGÊNCIA FAS01</t>
  </si>
  <si>
    <t>7622734</t>
  </si>
  <si>
    <t>(PRJ)_TOUCADOR - REPARO EM CHUVEIRO DE EMERGÊNCIA QUEBRADO NA ÁREA EXTERNA PARA DESCIDA DE CAMINHÃO, PROCURAR RAMERSON</t>
  </si>
  <si>
    <t>057-006-005</t>
  </si>
  <si>
    <t>ÁREA EXTERNA-TANQUES</t>
  </si>
  <si>
    <t>7622741</t>
  </si>
  <si>
    <t>(PRJ)_VM - REPARO EM GUARDA CORPO SOLTO RISCO DE QUEDA, PRÉ ESTAÇÃO DE TRATAMENTO DE EFLUENTES HIPOGLÓS</t>
  </si>
  <si>
    <t>SAL-450</t>
  </si>
  <si>
    <t>PRÉ ESTAÇÃO DE TRATAMENTO DE EFLUENTES HIPOGLÓS</t>
  </si>
  <si>
    <t>GFARIADE</t>
  </si>
  <si>
    <t>GLAUCIO FARIA DE SOUZA</t>
  </si>
  <si>
    <t>7619708</t>
  </si>
  <si>
    <t>(PRJ)_SANPRO EH&amp;S - FALTA LUMINÁRIA DE EMERGENCIA PRÓXIMO A CABINE DE POLPA NA FLEX1 E WD5, REALIZAR A INSTALAÇÃO DE BLOCO AUTÔNOMO</t>
  </si>
  <si>
    <t>057-007-002-004</t>
  </si>
  <si>
    <t xml:space="preserve"> WD5</t>
  </si>
  <si>
    <t>7619677</t>
  </si>
  <si>
    <t>(PRJ)_CBRE C5276 INSTALAR 3 NOVAS TOMADAS 220V/10A NA COPA DA CENTRAL IV, AUMENTOU A DEMANDA DE UTENSÍLIOS C/MAIOR POPULAÇÃO NA CENTRAL, PROCURAR JUAREZ NA CENTRAL IV PARA ALINHAMENTO</t>
  </si>
  <si>
    <t>TSILVA06</t>
  </si>
  <si>
    <t>THAIS ANGELA (SÍNDICA C4)</t>
  </si>
  <si>
    <t>7612056</t>
  </si>
  <si>
    <t>(PRJ)_VD - CONFECCIONAR ESQUADRIA P/PRENDER FILTRO NA TOMADA DE AR EXTERNO NO VEN-0154 UNIDADE DE TRATAMENTO DE AR - REINTECH (EM OTC)</t>
  </si>
  <si>
    <t>SAL-133</t>
  </si>
  <si>
    <t>UTILIDADES ACCELACOTA</t>
  </si>
  <si>
    <t>FANDREDE</t>
  </si>
  <si>
    <t>FELIPE ANDRE FREITAS</t>
  </si>
  <si>
    <t>0000008909-6251330103-7680-BR12</t>
  </si>
  <si>
    <t>7619584</t>
  </si>
  <si>
    <t>(PRJ)_CBRE C5269 REALIZAR REPARO EM SUPORTE DE TOMADAS QUE SE SOLTOU DA MESA DA SALA DE REUNIÃO, RISCO DE SEGURANÇA - SALA DE REUNIÃO C4.18, NA CENTRAL IV</t>
  </si>
  <si>
    <t>057-014-009</t>
  </si>
  <si>
    <t xml:space="preserve">SALA DE REUNIÃO CENTRAL IV </t>
  </si>
  <si>
    <t>7612113</t>
  </si>
  <si>
    <t>(PRJ)_PC553232892 P-2160 AZ-1865: REALIZAR A INSTALAÇÃO DE TORNEIRA NO DEPÓSITO DINDA</t>
  </si>
  <si>
    <t>057-010-006</t>
  </si>
  <si>
    <t>DEPÓSITO DA DINDA</t>
  </si>
  <si>
    <t>MCOELH11</t>
  </si>
  <si>
    <t>MARCIO ALEXANDRO</t>
  </si>
  <si>
    <t>7595848</t>
  </si>
  <si>
    <t>(PRJ)_PC553226017 P-2146 REALIZAR INFRAESTRUTURA ELÉTRICA PROVISÓRIA P/ALIMENTAÇÃO DE FREEZERS NO RESTAURANTE P/REFORMA DO PISO DA CÂMARA FRIA DE CONGELADOS</t>
  </si>
  <si>
    <t>(PRJ)_VM - REPARO EM GUARDA CORPO SOLTO RISCO DE QUEDA, PRÉ ESTAÇÃO DE TRATAMENTO DE EFLUENTES HIPOGLÓS
CC:0000008937-6251330103-7680-BR12</t>
  </si>
  <si>
    <t>7624360</t>
  </si>
  <si>
    <t>(PRJ)_VD - EMPRÉSTIMO DA PLATAFORMA TESOURA UTILIDADES 24/08</t>
  </si>
  <si>
    <t>(PRJ)_VD - EMPRÉSTIMO DA PLATAFORMA TESOURA UTILIDADES 24/08
CC: 0000008257-000000000-7680</t>
  </si>
  <si>
    <t>7622868</t>
  </si>
  <si>
    <t>(PRJ)_FAZER EXTENSÃO PARA LIGAR MÁQUINA DE EPI’s NO CORREDOR DO RESTAURANTE EM FRENTE A SALA DA FUNDHAS (MÁQUINAS BIVOLT, POTÊNCIA DAS MÁQUINAS 200W)</t>
  </si>
  <si>
    <t>(PRJ)_FAZER EXTENSÃO PARA LIGAR MÁQUINA DE EPI’s NO CORREDOR DO RESTAURANTE EM FRENTE A SALA DA FUNDHAS (MÁQUINAS BIVOLT, POTÊNCIA DAS MÁQUINAS 200W)
CC: 0000008062-000000000-7680</t>
  </si>
  <si>
    <t>057-022</t>
  </si>
  <si>
    <t>ESTRUTURA PREDIAL SITE MAINTENANCE</t>
  </si>
  <si>
    <t xml:space="preserve"> P-2143(FAST)</t>
  </si>
  <si>
    <t xml:space="preserve"> P-2143(FAST)-LOCAÇÃO DE PLATAFORMA ELEVATÓRIA TESOURA CRR</t>
  </si>
  <si>
    <t xml:space="preserve"> P-2143(FAST)-LOCAÇÃO DE PLATAFORMA ELEVATÓRIA TESOURA CRR
(DIAS 03/09 E 04/09)</t>
  </si>
  <si>
    <t>7619591</t>
  </si>
  <si>
    <t>(PRJ)_VM EHS&amp;S REPARO EM GRADES DO PISO DAS PASSARELAS DO CPD ESTÃO AMASSADAS COM RISCO DE TROPEÇÃO E QUEDA, FAZER REFORÇO POIS ESTA SITUAÇÃO É REINCIDENTE</t>
  </si>
  <si>
    <t>(PRJ)_VM EHS&amp;S REPARO EM GRADES DO PISO DAS PASSARELAS DO CPD ESTÃO AMASSADAS COM RISCO DE TROPEÇÃO E QUEDA, FAZER REFORÇO POIS ESTA SITUAÇÃO É REINCIDENTE
CC:0000008721-000000000-7680</t>
  </si>
  <si>
    <t>057-020-008-001</t>
  </si>
  <si>
    <t>CASA DE MÁQUINA HVAC CPD</t>
  </si>
  <si>
    <t>7622886</t>
  </si>
  <si>
    <t>(PRJ)_VM/EHS&amp;S - FECHAR TAMPA DE CAIXA DE PASSAGEM NA SE01 / SUB DE 88KV (VIDE FOTO)</t>
  </si>
  <si>
    <t>(PRJ)_VM/EHS&amp;S - FECHAR TAMPA DE CAIXA DE PASSAGEM NA SE01 / SUB DE 88KV (VIDE FOTO)
CC:0000008204-000000000-7680</t>
  </si>
  <si>
    <t>057-020-002</t>
  </si>
  <si>
    <t>SUBESTAÇÕES DE ENERGIA</t>
  </si>
  <si>
    <t>7622887</t>
  </si>
  <si>
    <t>(PRJ)_VD - REPARO EM BASE DO PORTÃO DANIFICADA SE 88KV (VIDE FOTO)</t>
  </si>
  <si>
    <t>(PRJ)_VD - REPARO EM BASE DO PORTÃO DANIFICADA SE 88KV (VIDE FOTO)
CC:0000008204-000000000-7680</t>
  </si>
  <si>
    <t>7617521</t>
  </si>
  <si>
    <t>(PRJ)_PC553231192 KNV/PC553231462 J&amp;J - LOJA DE EPI’S - INSTALAR INFRA HIDRÁULICA E ELÉTRICA P/ BEBEDOURO NA LOJA DE EPI’s</t>
  </si>
  <si>
    <t>(PRJ)_PC553231192 KNV/PC553231462 J&amp;J - LOJA DE EPI’S - INSTALAR INFRA HIDRÁULICA E ELÉTRICA P/ BEBEDOURO NA LOJA DE EPI’s
CC:0000008062-000000000-7680</t>
  </si>
  <si>
    <t>7446828</t>
  </si>
  <si>
    <t>P-2091 VM - INSTALAÇÃO DE ILUMINAÇÃO GERAL</t>
  </si>
  <si>
    <t>7290687</t>
  </si>
  <si>
    <t>(PRJ)_BOP_AGO - PINTAR A PAREDE E TUBULAÇÃO DE RÓTULOS, PRÓXIMO A IMPRESSORA</t>
  </si>
  <si>
    <t>7289000</t>
  </si>
  <si>
    <t>(PRJ)_BOP_AGO - ARAMES, REPARO EM ENTRADA DE CABEAMENTO DE REDE DANIFICADO NA BALANÇA LMK</t>
  </si>
  <si>
    <t>7289811</t>
  </si>
  <si>
    <t>(PRJ)_AJUSTAR INTERLOCK/COMUNICAÇÃO ENTRE PORTAS DA ASSEPSIA BONEWAX - AS PORTAS DEVEM ABRIR APENAS UMA POR VEZ</t>
  </si>
  <si>
    <t>7289043</t>
  </si>
  <si>
    <t>(PRJ)_BOP_AGO - ARAMES, EFETUAR A PINTURA DE DEMARCAÇÃO FALTANDO AREA GERAL DE CORTE E APONTAMENTO</t>
  </si>
  <si>
    <t>7289786</t>
  </si>
  <si>
    <t>(PRJ)_INSTALAR TOMADAS 20A NA ÁREA DA EMBALAGEM PARA USO DO ASPIRADOR DE PÓ</t>
  </si>
  <si>
    <t>7286065</t>
  </si>
  <si>
    <t>(PRJ)_BOP_AGO - EFETUAR A PINTURA NO CONDULETE PRÓXIMO AOS FORMULÁRIOS, CORREDOR DE ESCRITÓRIOS</t>
  </si>
  <si>
    <t>1000000546-625133001</t>
  </si>
  <si>
    <t>7285279</t>
  </si>
  <si>
    <t>(PRJ)_BOP_AGO - EFETUAR A PINTURA TOTAL NAS PAREDES DO MEZANINO EXTERNO</t>
  </si>
  <si>
    <t>(PRJ)_BOP_AGO - EFETUAR A PINTURA TOTAL NAS PAREDES DO MEZANINO EXTERNO
           REALIZAR FINAL DO ANO 2024</t>
  </si>
  <si>
    <t>BOXQUIAGU</t>
  </si>
  <si>
    <t>ÁREA DOS BOX DE PRODUTOS QUÍMICOS - AGULHAS</t>
  </si>
  <si>
    <t>1000000546-645110003-0000</t>
  </si>
  <si>
    <t>7285280</t>
  </si>
  <si>
    <t>(PRJ)_BOP_AGO - EFETUAR PINTURA NO BARRADO DAS PAREDES PRÓXIMO AOS TAMBORES DE RESÍDUO METÁLICO</t>
  </si>
  <si>
    <t>7285281</t>
  </si>
  <si>
    <t>(PRJ)_BOP_AGO - EFETUAR A PINTURA TOTAL NAS PAREDES INTERNAS DOS BOX DE RESÍDUOS CRÍTICOS</t>
  </si>
  <si>
    <t>7632029</t>
  </si>
  <si>
    <t>(PRJ)_CBRE C5344 SOLICITO A RETIRADA DE UMA CADEIRA (ATIVO 40732) E UMA MESA (ATIVO 75B1 030652) PARA DESCARTE, NO RH GLOBAL</t>
  </si>
  <si>
    <t>NCRUZ01</t>
  </si>
  <si>
    <t>NATALIE  CRUZ</t>
  </si>
  <si>
    <t>7630275</t>
  </si>
  <si>
    <t>(PRJ)_CBRE C5319 LANCHONETE/CANTINA - TROCAR O LOCAL DA ISCA LUMINOSA DA ÁREA, A ISCA ESTA INSTALADA EM LOCAL INADEQUADO, MOVIMENTAR P/LADO ESQUERDO ACIMA DO FORNO</t>
  </si>
  <si>
    <t>057-024-006</t>
  </si>
  <si>
    <t>CANTINA</t>
  </si>
  <si>
    <t>7600922</t>
  </si>
  <si>
    <t>(PRJ)_TOUCADOR - FALTA LUZ DE EMERGÊNCIA VESTIÁRIO FEMININO, FICA MUITO ESCURO QUANDO OCORRE QUEDA DE ENERGIA, INSTALAR ILUMINAÇÃO DE EMERGÊNCIA NO VESTIÁRIO PRÓXIMO AOS ARMÁRIOS</t>
  </si>
  <si>
    <t>057-006-002-002</t>
  </si>
  <si>
    <t>SALA DE ARMÁRIOS 1</t>
  </si>
  <si>
    <t>HCARVAL1</t>
  </si>
  <si>
    <t>HILCA MENDES DE CARVALHO</t>
  </si>
  <si>
    <t>7582755</t>
  </si>
  <si>
    <t xml:space="preserve">(PRJ)_PR**/ P-2167 CBRE C5001 ALTERAR AS FECHADURAS DOS PAINÉIS ELÉTRICOS DO CORREDOR PRINCIPAL NA CENTRAL 4, SÃO 7 PAINÉIS SENDO 14 FECHADURAS, RISCO DE SEGURANÇA, FECHADURAS P/FORA, </t>
  </si>
  <si>
    <t>(PRJ)_PR**/ P-2167 CBRE C5001 ALTERAR AS FECHADURAS DOS PAINÉIS ELÉTRICOS DO CORREDOR PRINCIPAL NA CENTRAL 4, SÃO 7 PAINÉIS SENDO 14 FECHADURAS, RISCO DE SEGURANÇA, FECHADURAS P/FORA, LATERAL ESQUERDA CORREDOR CENTRAL 4</t>
  </si>
  <si>
    <t>THAIS ANGELA</t>
  </si>
  <si>
    <t>NOC - 307.233</t>
  </si>
  <si>
    <t>ACOMPANHAMENTO RL - DISPENSERS 29/08/2024</t>
  </si>
  <si>
    <t>P-2111(FAST)</t>
  </si>
  <si>
    <t>P-2111(FAST)-MÃO DE OBRA CIVIL FOCADO MAM</t>
  </si>
  <si>
    <t xml:space="preserve">P-2111(FAST)-MÃO DE OBRA CIVIL FOCADO MAM
</t>
  </si>
  <si>
    <t>057-010</t>
  </si>
  <si>
    <t>ESTRUTURA PREDIAL MAM</t>
  </si>
  <si>
    <t>7292923</t>
  </si>
  <si>
    <t>(PRJ)_EFETUAR PINTURA NOS PAINEIS ELÉTRICOS DAS MÁQUINAS DA ESTAMPAGEM, ACABAMENTO E CANAL 420 - (OK 02,03,10,11,12,14,16,18,20, POLINIX 03, SAE MACHINE 01, 02 E 03) – EXECUTAR DURANTE A SEMANA</t>
  </si>
  <si>
    <t>7291333</t>
  </si>
  <si>
    <t>(PRJ)_INSTALAR VEDA FRESTA NO LADO ESQUERDO DA PORTA DE EMERGÊNCIA DO 2º FECHAMENTO - ETO</t>
  </si>
  <si>
    <t>7291357</t>
  </si>
  <si>
    <t>(PRJ)_REALIZAR A PINTURA TOTAL DE AMARELA NA DOCA DE SAÍDA - ETO</t>
  </si>
  <si>
    <t>7291426</t>
  </si>
  <si>
    <t>(PRJ)_REALIZAR A PINTURA TOTAL BRANCA DO FORRO, SALA DE MÁQUINAS COBALTO ESTERILIZAÇÃO</t>
  </si>
  <si>
    <t>7292915</t>
  </si>
  <si>
    <t>(PRJ)_REALIZAR A PINTURA TOTAL NA ÁREA EXTERNA DO VESTIÁRIO FEMININO CATGUT (FUNDO)</t>
  </si>
  <si>
    <t>7291331</t>
  </si>
  <si>
    <t>(PRJ)_REALIZAR RETOQUE NA PINTURA CINZA DA PORTA DO HOTROOM I - ETO</t>
  </si>
  <si>
    <t>7291361</t>
  </si>
  <si>
    <t>(PRJ)_BOP AGO - REALIZAR A PINTURA TOTAL NA TUBULAÇÃO PRÓXIMO À PIA, NO LABORATÓRIO QUÍMICO DA MEDTECH</t>
  </si>
  <si>
    <t>7291330</t>
  </si>
  <si>
    <t>(PRJ)_REALIZAR A VEDAÇÃO TOTAL C/PU OU SILICONE OS FORROS DA SALA ESTERILIZADOR SECUNDÁRIO - ETO</t>
  </si>
  <si>
    <t>7291334</t>
  </si>
  <si>
    <t>(PRJ)_RETIRAR O RELÓGIO CHATLLON DA PAREDE DO 2ºFECHAMENTO</t>
  </si>
  <si>
    <t>7290761</t>
  </si>
  <si>
    <t>(PRJ)_EHS - ALARGAR E ADAPTAR A CALÇADA E RAMPA DE ACESSO A CASA DE MÁQUINAS DAS CÂMARAS DE SECAGEM</t>
  </si>
  <si>
    <t>EEME</t>
  </si>
  <si>
    <t>CASA DE MAQUINAS EMBALAGEM</t>
  </si>
  <si>
    <t>1000000547</t>
  </si>
  <si>
    <t>7291418</t>
  </si>
  <si>
    <t>(PRJ)_COLOCAR ORGANIZADOR DE FIOS ACIMA DA PORTA DE ACESSO AO IRRADIADOR - ETO</t>
  </si>
  <si>
    <t>7292921</t>
  </si>
  <si>
    <t>(PRJ)_REALIZAR A INSTALAÇÃO DE FOTO CÉLULA PARA REFLETORES DA DOCA DA EMBALAGEM</t>
  </si>
  <si>
    <t>7290782</t>
  </si>
  <si>
    <t>(PRJ)_EHS&amp;S VM-010827 - TROCAR CABO ELÉTRICO DE ATERRAMENTO ESTÁ DESCASCADO NO LADO ESQUERDO DEP.INFLAMÁVEIS 2 (R04) MAM MEDTECH</t>
  </si>
  <si>
    <t>7289814</t>
  </si>
  <si>
    <t>(PRJ)_BOP_AGO - EFETUAR A LIMPEZA DA GRELHA DO AR CONDICIONADO (SALA FACILITADORES)/AGULHAS</t>
  </si>
  <si>
    <t>7286645</t>
  </si>
  <si>
    <t>(PRJ)_BOP_AGO - CATGUT, BICO DE SPRINKLER ENFERRUJADO (SALA DE RECUPERAÇÃO DE LACINHOS), REALIZAR A PINTURA DA CANOPLA E ENTORNO (AVALIAR NO LOCAL)</t>
  </si>
  <si>
    <t>7286035</t>
  </si>
  <si>
    <t>(PRJ)_BOP_AGO - CATGUT, BICO DE SPRINKLER ENFERRUJADO (PROXIMO BANCADA 03), REALIZAR A PINTURA DA CANOPLA E ENTORNO (AVALIAR NO LOCAL)</t>
  </si>
  <si>
    <t>7636493</t>
  </si>
  <si>
    <t>(PRJ)_CBRE C5372 REPARO EM MÓVEL, PORTA DA MESA SAIU E NÃO CONSIGO COLOCAR DE VOLTA NO LOCAL, ADM.AMBIENTE MAKE CENTRAL 3 - MAKE EXCELLENCE (MEX) – PROCURAR POR CAMILA MARZO</t>
  </si>
  <si>
    <t>057-013-006</t>
  </si>
  <si>
    <t xml:space="preserve"> BANHEIRO FEMININO CORREDOR DE ENTRDA</t>
  </si>
  <si>
    <t>CAMILA MARZO</t>
  </si>
  <si>
    <t>7636491</t>
  </si>
  <si>
    <t>(PRJ)_INSTALAR TV NA ÁREA DE QUALIDADE PARA AUDITORIA INTERNA DA ANVISA / TIME DE QUALIDADE</t>
  </si>
  <si>
    <t>057-013-003</t>
  </si>
  <si>
    <t xml:space="preserve">CORREDOR DE ACESSO A ENTRADA A C. III  </t>
  </si>
  <si>
    <t>(PRJ)_BOP_AGO - EFETUAR A LIMPEZA DA GRELHA DO AR CONDICIONADO (SALA FACILITADORES)/AGULHAS
CC:1000000546-625133001</t>
  </si>
  <si>
    <t>P-2164</t>
  </si>
  <si>
    <t>P-2164 (MANUTENÇÃO NO GUARDA CORPO DA DOCA NO DEPÓSITO TOUCADOR II</t>
  </si>
  <si>
    <t xml:space="preserve">P-2164 (MANUTENÇÃO NO GUARDA CORPO DA DOCA NO DEPÓSITO TOUCADOR II) </t>
  </si>
  <si>
    <t>P-2091(FAST)</t>
  </si>
  <si>
    <t>P-2091(FAST)-INSTALAÇÃO DE 02 REFLETORES LED CAIXA CHEGADA</t>
  </si>
  <si>
    <t>UTL-001</t>
  </si>
  <si>
    <t>UTILIDADES</t>
  </si>
  <si>
    <t>FDUTRA</t>
  </si>
  <si>
    <t>1016468 - FABIANO DUTRA</t>
  </si>
  <si>
    <t>(PRJ)_CBRE C5372 REPARO EM MÓVEL, PORTA DA MESA SAIU E NÃO CONSIGO COLOCAR DE VOLTA NO LOCAL, ADM.AMBIENTE MAKE CENTRAL 3 - MAKE EXCELLENCE (MEX) – PROCURAR POR CAMILA MARZO
CC:0000008622-000000000-7680</t>
  </si>
  <si>
    <t>7637975</t>
  </si>
  <si>
    <t>(PRJ)_ACOMPANHAMENTO EMPRESA EMPARCOM PARA DIMENSIONAMENTO DE PROJETO HVAC DAS CENTRAIS 2, 3 E 4 – INÍCIO EM 03/SET, NA CENTRAL 4</t>
  </si>
  <si>
    <t>(PRJ)_ACOMPANHAMENTO EMPRESA EMPARCOM PARA DIMENSIONAMENTO DE PROJETO HVAC DAS CENTRAIS 2, 3 E 4 – INÍCIO EM 03/SET, NA CENTRAL 4
CC:0000008622-000000000-7680</t>
  </si>
  <si>
    <t>057-013-007</t>
  </si>
  <si>
    <t>SALA DE REUNIÕES YPÊ</t>
  </si>
  <si>
    <t>7637999</t>
  </si>
  <si>
    <t>(PRJ)_CBRE C5380 RETIRAR TODAS AS ABRAÇADEIRAS HELLERMAN NAS TORNEIRAS DO WC FEMININO E MASCULINO DA CENTRAL 2, DEMANDA SOLICITADA PELA DIRETORA DE RH</t>
  </si>
  <si>
    <t>(PRJ)_CBRE C5380 RETIRAR TODAS AS ABRAÇADEIRAS HELLERMAN NAS TORNEIRAS DO WC FEMININO E MASCULINO DA CENTRAL 2, DEMANDA SOLICITADA PELA DIRETORA DE RH
CC:0000008201-000000000-7680</t>
  </si>
  <si>
    <t>057-012-053-002</t>
  </si>
  <si>
    <t>WC - FEMININO CENTRAL - II CORREDOR</t>
  </si>
  <si>
    <t>DBEASUZ</t>
  </si>
  <si>
    <t>1004079 - DANIELA BIASUZ BRAGA</t>
  </si>
  <si>
    <t>7293023</t>
  </si>
  <si>
    <t>(PRJ)_EHS&amp;S - CORRIGIR DESNÍVEL DE PISO NA REGIÃO DO POSTO DE TRABALHO (ÁREA DE DRILL), EXECUTAR DEMANDA NOS DIAS 02 E 03/SET (PROCURAR MÁRIO CAETANO NO LOCAL PARA EXECUTAR CORREÇÃO), COBERTURA ADICIO</t>
  </si>
  <si>
    <t>(PRJ)_EHS&amp;S - CORRIGIR DESNÍVEL DE PISO NA REGIÃO DO POSTO DE TRABALHO (ÁREA DE DRILL), EXECUTAR DEMANDA NOS DIAS 02 E 03/SET (PROCURAR MÁRIO CAETANO NO LOCAL PARA EXECUTAR CORREÇÃO), COBERTURA ADICIONAL DE MANTA SERÁ EXECUTADA PELA DIVIFORT
CC:1000013679-625133001-0000</t>
  </si>
  <si>
    <t>7638032</t>
  </si>
  <si>
    <t>(PRJ)_TOUCADOR - COLOCAR CANOPLA DE PROTEÇÃO NO BICO DE SPRINKLER NA PESAGEM (FOTO ANEXO) – DRENAR A VG-14 PARA A ATIVIDADE</t>
  </si>
  <si>
    <t>(PRJ)_TOUCADOR - COLOCAR CANOPLA DE PROTEÇÃO NO BICO DE SPRINKLER NA PESAGEM (FOTO ANEXO) – DRENAR A VG-14 PARA A ATIVIDADE
CC:057-006-002-011</t>
  </si>
  <si>
    <t>7290740</t>
  </si>
  <si>
    <t>(PRJ)_BOP_AGO - REALIZAR A PINTURA DA PLACA DE FORRO DESCASCANDO (PASSTHROUGH)</t>
  </si>
  <si>
    <t>7292945</t>
  </si>
  <si>
    <t>(PRJ)_TROCAR SUPORTE DE ÁLCOOL E PERFEX QUEBRADO NA ENTRADA DO PROLENE MESH</t>
  </si>
  <si>
    <t>7294327</t>
  </si>
  <si>
    <t>(PRJ)_REALIZAR A REMOÇÃO DOS PARAFUSOS DE SUPORTE DO ANTIGO QUADRO DE IDEIAS E SILICONIZAÇÃO DOS FUROS, LABORATÓRIO DE MICROBIOLOGIA - MEDICAL</t>
  </si>
  <si>
    <t>7293851</t>
  </si>
  <si>
    <t>(PRJ)_EFETUAR A PINTURA NOS PAINÉIS ELÉTRICOS DA MÁQUINA DE LAVAR CUBAS E UNIDADE DE LAVAGEM</t>
  </si>
  <si>
    <t>7293850</t>
  </si>
  <si>
    <t>(PRJ)_EFETUAR A PINTURA NAS COIFAS DE EXAUSTÃO DA MÁQUINA DE LAVAGEM DE CUBAS E UNIDADE DE LAVAGEM</t>
  </si>
  <si>
    <t>(PRJ)_EFETUAR A PINTURA NAS COIFAS DE EXAUSTÃO DA MÁQUINA DE LAVAGEM DE CUBAS E UNIDADE DE LAVAGEM
        PARADA FINAL DO ANO 2024</t>
  </si>
  <si>
    <t>7293848</t>
  </si>
  <si>
    <t>(PRJ)_REMOVER A PINTURA NAS TAMPAS DOS CESTOS DO TAMBOREADOR - ACABAMENTO DE AGULHAS DRILL</t>
  </si>
  <si>
    <t>7289816</t>
  </si>
  <si>
    <t>(PRJ)_BOP_AGO - REALIZAR A PINTURA TOTAL DO TETO E PAREDES (SALA COORDENADORES AGULHAS)</t>
  </si>
  <si>
    <t>7636543</t>
  </si>
  <si>
    <t>(PRJ)_REALIZAR TESTE DE PINTURA COM TINTA PADRÃO KENVUE (VERDE) NA PAREDE DA CENTRAL 3/SR. EVERALDO CIENTE, A TINTA ESTÁ NA CENTRAL 4 C/JUAREZ, LEVAR PEDAÇO DE DRYWALL PARA TESTE</t>
  </si>
  <si>
    <t>057-013</t>
  </si>
  <si>
    <t>Estrutura Predial Central III</t>
  </si>
  <si>
    <t>7638072</t>
  </si>
  <si>
    <t>(PRJ)_CBRE C5379 REPARO NO FECHO DO PORTÃO DE SAÍDA DE EMERGENCIA DO AMBULATORIO (PLATAFORMA DE ÔNIBUS) ESTÁ DESGASTADO, NÃO PARANDO FECHADO</t>
  </si>
  <si>
    <t xml:space="preserve"> P-2153(FAST)</t>
  </si>
  <si>
    <t xml:space="preserve"> P-2153(FAST)-CONFECÇÃO E INSTALAÇÃO DE SUPORTE ACRÍLICO BAND AID</t>
  </si>
  <si>
    <t>KGONCALV</t>
  </si>
  <si>
    <t>KELLER GONCALVES</t>
  </si>
  <si>
    <t>PROJ</t>
  </si>
  <si>
    <t>7642145</t>
  </si>
  <si>
    <t>(PRJ)_TOUCADOR - MO CIVIL PARA APOIAR LEANDRO DA MEG (DATA A DEFINIR) PRECISA QUE SEJA ABERTO NO PISO C/MAKITA UMA LINHA DE 20MM E PROFUNDIDADE</t>
  </si>
  <si>
    <t>(PRJ)_TOUCADOR - MO CIVIL PARA APOIAR LEANDRO DA MEG (DATA A DEFINIR) PRECISA QUE SEJA ABERTO NO PISO C/MAKITA UMA LINHA DE 20MM E PROFUNDIDADE
CC:0000008033-000000000-7680</t>
  </si>
  <si>
    <t>7294326</t>
  </si>
  <si>
    <t>(PRJ)_REFAZER REJUNTE DE BANCADA DE MÁRMORE ABERTO, NA SALA DE CARGA MICROBIANA E PIA DA ASSEPSIA</t>
  </si>
  <si>
    <t>7291356</t>
  </si>
  <si>
    <t>(PRJ)_BOP_AGO RETIRAR RESTO DE COLA NA LATERAL DA GELADEIRA E NA PAREDE PERTO DO QUADRO DE AVISOS, LABORATÓRIO QUÍMICO - MEDICAL</t>
  </si>
  <si>
    <t>7294031</t>
  </si>
  <si>
    <t>(PRJ)_INSPEÇÃO DE PINTURA NO TETO E PAREDES DA CÂMARA FRIA SEROSA – CATGUT</t>
  </si>
  <si>
    <t>(PRJ)_INSPEÇÃO DE PINTURA NO TETO E PAREDES DA CÂMARA FRIA SEROSA – CATGUT
CC:1000000511-625133001-0000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</si>
</sst>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;&quot;---&quot;"/>
    <numFmt numFmtId="165" formatCode="00"/>
  </numFmts>
  <fonts count="23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name val="Calibri"/>
      <family val="2"/>
    </font>
    <font>
      <b/>
      <i/>
      <sz val="9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</font>
    <font>
      <i/>
      <sz val="9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8"/>
      <color theme="0"/>
      <name val="Calibri"/>
      <family val="2"/>
    </font>
    <font>
      <b/>
      <sz val="9"/>
      <color rgb="FFC00000"/>
      <name val="Calibri"/>
      <family val="2"/>
      <scheme val="minor"/>
    </font>
    <font>
      <sz val="9"/>
      <color theme="2" tint="-0.249977111117893"/>
      <name val="Calibri"/>
      <family val="2"/>
      <scheme val="minor"/>
    </font>
    <font>
      <b/>
      <sz val="8"/>
      <color theme="2" tint="-0.249977111117893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Verdana"/>
      <family val="2"/>
    </font>
    <font>
      <sz val="11"/>
      <color theme="1"/>
      <name val="Calibri"/>
      <family val="2"/>
      <scheme val="minor"/>
    </font>
    <font>
      <sz val="8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D3D3D3"/>
        <bgColor rgb="FFD3D3D3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D3D3D3"/>
      </patternFill>
    </fill>
  </fills>
  <borders count="1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</borders>
  <cellStyleXfs count="3">
    <xf numFmtId="0" fontId="0" fillId="0" borderId="0"/>
    <xf numFmtId="0" fontId="5" fillId="0" borderId="0"/>
    <xf numFmtId="0" fontId="21" fillId="0" borderId="14" applyFill="0">
      <alignment horizontal="center" vertical="center"/>
    </xf>
  </cellStyleXfs>
  <cellXfs count="89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/>
    <xf numFmtId="14" fontId="2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>
      <alignment horizont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/>
    <xf numFmtId="0" fontId="2" fillId="4" borderId="0" xfId="0" applyFont="1" applyFill="1" applyAlignment="1">
      <alignment horizontal="right" vertical="center"/>
    </xf>
    <xf numFmtId="14" fontId="9" fillId="0" borderId="0" xfId="0" applyNumberFormat="1" applyFont="1" applyAlignment="1" applyProtection="1">
      <alignment horizontal="left" vertical="center"/>
      <protection locked="0"/>
    </xf>
    <xf numFmtId="0" fontId="9" fillId="0" borderId="0" xfId="0" applyFont="1" applyAlignment="1">
      <alignment horizontal="left" vertical="center"/>
    </xf>
    <xf numFmtId="14" fontId="10" fillId="4" borderId="0" xfId="0" applyNumberFormat="1" applyFont="1" applyFill="1" applyAlignment="1" applyProtection="1">
      <alignment horizontal="right" vertical="center"/>
      <protection locked="0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14" fontId="3" fillId="0" borderId="0" xfId="0" applyNumberFormat="1" applyFont="1" applyAlignment="1">
      <alignment horizontal="center"/>
    </xf>
    <xf numFmtId="0" fontId="15" fillId="3" borderId="1" xfId="0" applyFont="1" applyFill="1" applyBorder="1" applyAlignment="1">
      <alignment horizontal="center" vertical="center" wrapText="1"/>
    </xf>
    <xf numFmtId="14" fontId="15" fillId="3" borderId="1" xfId="0" applyNumberFormat="1" applyFont="1" applyFill="1" applyBorder="1" applyAlignment="1">
      <alignment horizontal="center" vertical="center" wrapText="1"/>
    </xf>
    <xf numFmtId="0" fontId="15" fillId="3" borderId="1" xfId="1" applyFont="1" applyFill="1" applyBorder="1" applyAlignment="1">
      <alignment horizontal="center" vertical="center" wrapText="1"/>
    </xf>
    <xf numFmtId="0" fontId="17" fillId="4" borderId="0" xfId="0" applyFont="1" applyFill="1" applyAlignment="1" applyProtection="1">
      <alignment horizontal="center" vertical="center"/>
      <protection locked="0"/>
    </xf>
    <xf numFmtId="0" fontId="17" fillId="4" borderId="0" xfId="0" applyFont="1" applyFill="1" applyProtection="1">
      <protection locked="0"/>
    </xf>
    <xf numFmtId="0" fontId="17" fillId="4" borderId="0" xfId="0" applyFont="1" applyFill="1" applyAlignment="1" applyProtection="1">
      <alignment horizontal="center"/>
      <protection locked="0"/>
    </xf>
    <xf numFmtId="14" fontId="17" fillId="4" borderId="0" xfId="0" applyNumberFormat="1" applyFont="1" applyFill="1" applyAlignment="1" applyProtection="1">
      <alignment horizontal="center" vertical="center"/>
      <protection locked="0"/>
    </xf>
    <xf numFmtId="14" fontId="17" fillId="4" borderId="0" xfId="0" applyNumberFormat="1" applyFont="1" applyFill="1" applyProtection="1">
      <protection locked="0"/>
    </xf>
    <xf numFmtId="0" fontId="17" fillId="4" borderId="0" xfId="1" applyFont="1" applyFill="1" applyProtection="1">
      <protection locked="0"/>
    </xf>
    <xf numFmtId="0" fontId="16" fillId="0" borderId="0" xfId="1" applyFont="1" applyProtection="1">
      <protection locked="0"/>
    </xf>
    <xf numFmtId="14" fontId="16" fillId="0" borderId="0" xfId="1" applyNumberFormat="1" applyFont="1" applyProtection="1">
      <protection locked="0"/>
    </xf>
    <xf numFmtId="0" fontId="16" fillId="0" borderId="0" xfId="1" applyFont="1" applyAlignment="1" applyProtection="1">
      <alignment horizontal="center" vertical="center"/>
      <protection locked="0"/>
    </xf>
    <xf numFmtId="0" fontId="16" fillId="0" borderId="0" xfId="1" applyFont="1" applyAlignment="1" applyProtection="1">
      <alignment horizontal="center"/>
      <protection locked="0"/>
    </xf>
    <xf numFmtId="22" fontId="16" fillId="0" borderId="0" xfId="1" applyNumberFormat="1" applyFont="1" applyAlignment="1" applyProtection="1">
      <alignment horizontal="center"/>
      <protection locked="0"/>
    </xf>
    <xf numFmtId="14" fontId="16" fillId="0" borderId="0" xfId="1" applyNumberFormat="1" applyFont="1" applyAlignment="1" applyProtection="1">
      <alignment horizontal="center" vertical="center"/>
      <protection locked="0"/>
    </xf>
    <xf numFmtId="0" fontId="1" fillId="0" borderId="0" xfId="0" applyFont="1" applyAlignment="1">
      <alignment horizontal="right" vertical="center" wrapText="1"/>
    </xf>
    <xf numFmtId="14" fontId="3" fillId="4" borderId="0" xfId="0" applyNumberFormat="1" applyFont="1" applyFill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8" fillId="0" borderId="0" xfId="1" applyFont="1"/>
    <xf numFmtId="0" fontId="8" fillId="0" borderId="0" xfId="1" applyFont="1" applyAlignment="1">
      <alignment horizontal="center" vertical="center" wrapText="1"/>
    </xf>
    <xf numFmtId="0" fontId="11" fillId="0" borderId="0" xfId="1" applyFont="1"/>
    <xf numFmtId="14" fontId="2" fillId="0" borderId="4" xfId="0" applyNumberFormat="1" applyFont="1" applyBorder="1" applyAlignment="1" applyProtection="1">
      <alignment horizontal="center" vertical="center"/>
      <protection locked="0"/>
    </xf>
    <xf numFmtId="0" fontId="12" fillId="0" borderId="4" xfId="0" applyFont="1" applyBorder="1" applyAlignment="1" applyProtection="1">
      <alignment horizontal="center" vertical="center"/>
      <protection locked="0"/>
    </xf>
    <xf numFmtId="0" fontId="7" fillId="6" borderId="13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 wrapText="1"/>
    </xf>
    <xf numFmtId="0" fontId="7" fillId="6" borderId="10" xfId="0" applyFont="1" applyFill="1" applyBorder="1" applyAlignment="1">
      <alignment horizontal="center" vertical="center" wrapText="1"/>
    </xf>
    <xf numFmtId="0" fontId="7" fillId="5" borderId="13" xfId="0" applyFont="1" applyFill="1" applyBorder="1" applyAlignment="1">
      <alignment horizontal="center" vertical="center" wrapText="1"/>
    </xf>
    <xf numFmtId="14" fontId="7" fillId="5" borderId="13" xfId="0" applyNumberFormat="1" applyFont="1" applyFill="1" applyBorder="1" applyAlignment="1">
      <alignment horizontal="center" vertical="center" wrapText="1"/>
    </xf>
    <xf numFmtId="0" fontId="15" fillId="5" borderId="12" xfId="0" applyFont="1" applyFill="1" applyBorder="1" applyAlignment="1">
      <alignment horizontal="center" vertical="center" wrapText="1"/>
    </xf>
    <xf numFmtId="164" fontId="3" fillId="0" borderId="0" xfId="0" applyNumberFormat="1" applyFont="1" applyAlignment="1">
      <alignment horizontal="center"/>
    </xf>
    <xf numFmtId="0" fontId="7" fillId="3" borderId="1" xfId="0" applyFont="1" applyFill="1" applyBorder="1" applyAlignment="1">
      <alignment horizontal="center" vertical="center" wrapText="1"/>
    </xf>
    <xf numFmtId="0" fontId="19" fillId="4" borderId="0" xfId="0" applyFont="1" applyFill="1" applyAlignment="1" applyProtection="1">
      <alignment horizontal="center" vertical="center" wrapText="1"/>
      <protection locked="0"/>
    </xf>
    <xf numFmtId="0" fontId="19" fillId="4" borderId="0" xfId="0" applyFont="1" applyFill="1" applyAlignment="1" applyProtection="1">
      <alignment wrapText="1"/>
      <protection locked="0"/>
    </xf>
    <xf numFmtId="0" fontId="8" fillId="0" borderId="0" xfId="1" applyFont="1" applyAlignment="1">
      <alignment horizontal="left" vertical="center"/>
    </xf>
    <xf numFmtId="0" fontId="11" fillId="4" borderId="0" xfId="1" applyFont="1" applyFill="1" applyProtection="1">
      <protection locked="0"/>
    </xf>
    <xf numFmtId="165" fontId="8" fillId="0" borderId="0" xfId="1" applyNumberFormat="1" applyFont="1" applyAlignment="1">
      <alignment horizontal="center" vertical="center"/>
    </xf>
    <xf numFmtId="22" fontId="20" fillId="0" borderId="0" xfId="0" applyNumberFormat="1" applyFont="1"/>
    <xf numFmtId="0" fontId="20" fillId="0" borderId="0" xfId="0" applyFont="1"/>
    <xf numFmtId="0" fontId="20" fillId="0" borderId="0" xfId="1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Protection="1"/>
    <xf numFmtId="0" fontId="20" fillId="0" borderId="0" xfId="1" applyNumberFormat="1" applyFont="1" applyFill="1" applyAlignment="1" applyProtection="1">
      <alignment horizontal="left"/>
    </xf>
    <xf numFmtId="0" fontId="20" fillId="0" borderId="0" xfId="1" applyNumberFormat="1" applyFont="1" applyFill="1" applyAlignment="1" applyProtection="1">
      <alignment horizontal="left" vertical="center"/>
    </xf>
    <xf numFmtId="22" fontId="20" fillId="0" borderId="0" xfId="1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Alignment="1" applyProtection="1">
      <alignment horizontal="center"/>
    </xf>
    <xf numFmtId="22" fontId="20" fillId="0" borderId="0" xfId="1" applyNumberFormat="1" applyFont="1" applyFill="1" applyAlignment="1" applyProtection="1">
      <alignment horizontal="left"/>
    </xf>
    <xf numFmtId="0" fontId="20" fillId="0" borderId="0" xfId="1" applyNumberFormat="1" applyFont="1" applyFill="1" applyAlignment="1" applyProtection="1">
      <alignment horizontal="left" shrinkToFit="1"/>
    </xf>
    <xf numFmtId="22" fontId="20" fillId="0" borderId="0" xfId="1" applyNumberFormat="1" applyFont="1" applyFill="1" applyAlignment="1" applyProtection="1">
      <alignment horizontal="left"/>
      <protection locked="0"/>
    </xf>
    <xf numFmtId="165" fontId="8" fillId="0" borderId="0" xfId="1" applyNumberFormat="1" applyFont="1" applyFill="1" applyAlignment="1">
      <alignment horizontal="center"/>
    </xf>
    <xf numFmtId="0" fontId="22" fillId="0" borderId="0" xfId="1" applyNumberFormat="1" applyFont="1" applyFill="1" applyAlignment="1" applyProtection="1">
      <alignment horizontal="center" vertical="center"/>
    </xf>
    <xf numFmtId="0" fontId="22" fillId="0" borderId="0" xfId="1" applyNumberFormat="1" applyFont="1" applyFill="1" applyProtection="1"/>
    <xf numFmtId="0" fontId="22" fillId="0" borderId="0" xfId="1" applyNumberFormat="1" applyFont="1" applyFill="1" applyAlignment="1" applyProtection="1">
      <alignment horizontal="left"/>
    </xf>
    <xf numFmtId="0" fontId="22" fillId="0" borderId="0" xfId="1" applyNumberFormat="1" applyFont="1" applyFill="1" applyAlignment="1" applyProtection="1">
      <alignment horizontal="left" vertical="center"/>
    </xf>
    <xf numFmtId="22" fontId="22" fillId="0" borderId="0" xfId="1" applyNumberFormat="1" applyFont="1" applyFill="1" applyAlignment="1" applyProtection="1">
      <alignment horizontal="center" vertical="center"/>
    </xf>
    <xf numFmtId="0" fontId="22" fillId="0" borderId="0" xfId="1" applyNumberFormat="1" applyFont="1" applyFill="1" applyAlignment="1" applyProtection="1">
      <alignment horizontal="center"/>
    </xf>
    <xf numFmtId="22" fontId="22" fillId="0" borderId="0" xfId="1" applyNumberFormat="1" applyFont="1" applyFill="1" applyAlignment="1" applyProtection="1">
      <alignment horizontal="left"/>
    </xf>
    <xf numFmtId="0" fontId="22" fillId="0" borderId="0" xfId="1" applyNumberFormat="1" applyFont="1" applyFill="1" applyAlignment="1" applyProtection="1">
      <alignment horizontal="left" shrinkToFit="1"/>
    </xf>
    <xf numFmtId="0" fontId="1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0" fontId="6" fillId="2" borderId="2" xfId="0" applyFont="1" applyFill="1" applyBorder="1" applyAlignment="1">
      <alignment horizontal="right" vertical="center"/>
    </xf>
    <xf numFmtId="0" fontId="6" fillId="2" borderId="3" xfId="0" applyFont="1" applyFill="1" applyBorder="1" applyAlignment="1">
      <alignment horizontal="right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4" fontId="10" fillId="4" borderId="7" xfId="0" applyNumberFormat="1" applyFont="1" applyFill="1" applyBorder="1" applyAlignment="1" applyProtection="1">
      <alignment horizontal="center" vertical="center"/>
      <protection locked="0"/>
    </xf>
    <xf numFmtId="14" fontId="10" fillId="4" borderId="8" xfId="0" applyNumberFormat="1" applyFont="1" applyFill="1" applyBorder="1" applyAlignment="1" applyProtection="1">
      <alignment horizontal="center" vertical="center"/>
      <protection locked="0"/>
    </xf>
    <xf numFmtId="14" fontId="10" fillId="4" borderId="0" xfId="0" applyNumberFormat="1" applyFont="1" applyFill="1" applyAlignment="1" applyProtection="1">
      <alignment horizontal="center" vertical="center"/>
      <protection locked="0"/>
    </xf>
    <xf numFmtId="14" fontId="10" fillId="4" borderId="9" xfId="0" applyNumberFormat="1" applyFont="1" applyFill="1" applyBorder="1" applyAlignment="1" applyProtection="1">
      <alignment horizontal="center" vertical="center"/>
      <protection locked="0"/>
    </xf>
    <xf numFmtId="14" fontId="10" fillId="4" borderId="11" xfId="0" applyNumberFormat="1" applyFont="1" applyFill="1" applyBorder="1" applyAlignment="1" applyProtection="1">
      <alignment horizontal="center" vertical="center"/>
      <protection locked="0"/>
    </xf>
    <xf numFmtId="14" fontId="10" fillId="4" borderId="12" xfId="0" applyNumberFormat="1" applyFont="1" applyFill="1" applyBorder="1" applyAlignment="1" applyProtection="1">
      <alignment horizontal="center" vertical="center"/>
      <protection locked="0"/>
    </xf>
  </cellXfs>
  <cellStyles count="3">
    <cellStyle name="Nome" xfId="2" xr:uid="{F88C2958-70A0-42E0-B77A-12A6E421B52A}"/>
    <cellStyle name="Normal" xfId="0" builtinId="0"/>
    <cellStyle name="Normal 2" xfId="1" xr:uid="{00000000-0005-0000-0000-000001000000}"/>
  </cellStyles>
  <dxfs count="3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dd/mm/yyyy;;&quot;---&quot;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</dxf>
    <dxf>
      <font>
        <b val="0"/>
        <i val="0"/>
        <color rgb="FFC00000"/>
      </font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65" formatCode="00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numFmt numFmtId="27" formatCode="dd/mm/yyyy\ hh:mm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27" formatCode="dd/mm/yyyy\ hh:mm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27" formatCode="dd/mm/yyyy\ h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scheme val="none"/>
      </font>
      <numFmt numFmtId="0" formatCode="General"/>
      <fill>
        <patternFill patternType="solid">
          <fgColor indexed="64"/>
          <bgColor theme="0"/>
        </patternFill>
      </fill>
      <protection locked="0" hidden="0"/>
    </dxf>
  </dxfs>
  <tableStyles count="0" defaultTableStyle="TableStyleMedium2" defaultPivotStyle="PivotStyleLight16"/>
  <colors>
    <mruColors>
      <color rgb="FF61D6FF"/>
      <color rgb="FF71FFB1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228600</xdr:colOff>
      <xdr:row>1</xdr:row>
      <xdr:rowOff>58209</xdr:rowOff>
    </xdr:from>
    <xdr:to>
      <xdr:col>2</xdr:col>
      <xdr:colOff>949245</xdr:colOff>
      <xdr:row>3</xdr:row>
      <xdr:rowOff>172509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017" y="111126"/>
          <a:ext cx="1154561" cy="3788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88900</xdr:colOff>
      <xdr:row>1</xdr:row>
      <xdr:rowOff>76200</xdr:rowOff>
    </xdr:from>
    <xdr:to>
      <xdr:col>10</xdr:col>
      <xdr:colOff>596900</xdr:colOff>
      <xdr:row>3</xdr:row>
      <xdr:rowOff>127000</xdr:rowOff>
    </xdr:to>
    <xdr:sp macro="" textlink="">
      <xdr:nvSpPr>
        <xdr:cNvPr id="2054" name="FiltrarLista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00000000-0008-0000-04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88900</xdr:colOff>
      <xdr:row>1</xdr:row>
      <xdr:rowOff>76200</xdr:rowOff>
    </xdr:from>
    <xdr:to>
      <xdr:col>10</xdr:col>
      <xdr:colOff>596900</xdr:colOff>
      <xdr:row>3</xdr:row>
      <xdr:rowOff>127000</xdr:rowOff>
    </xdr:to>
    <xdr:pic>
      <xdr:nvPicPr>
        <xdr:cNvPr id="2" name="FiltrarLista">
          <a:extLst>
            <a:ext uri="{FF2B5EF4-FFF2-40B4-BE49-F238E27FC236}">
              <a16:creationId xmlns:a16="http://schemas.microsoft.com/office/drawing/2014/main" id="{18ED03DE-3F04-E53B-9913-06827091C4C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71700" y="127000"/>
          <a:ext cx="1384300" cy="317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nj.sharepoint.com/teams/CMP_Planej/Documentos%20Compartilhados/3.%20Projetos/3.2%20-%20Controle%20de%20Programa&#231;&#227;o/HORA%20EXTRA/HORA%20EXTRA%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RA EXTRA OBR"/>
      <sheetName val="HE MENSAL OBR"/>
      <sheetName val="Colaboradores"/>
      <sheetName val="Planilha1"/>
      <sheetName val="Planilha2"/>
      <sheetName val="HORA EXTRA "/>
    </sheet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Sisteplant" displayName="Sisteplant" ref="A2:V660" totalsRowShown="0" headerRowDxfId="34" headerRowCellStyle="Normal 2">
  <autoFilter ref="A2:V660" xr:uid="{00000000-000C-0000-FFFF-FFFF00000000}"/>
  <tableColumns count="22">
    <tableColumn id="1" xr3:uid="{00000000-0010-0000-0000-000001000000}" name="Número OS" dataDxfId="33" dataCellStyle="Normal 2"/>
    <tableColumn id="2" xr3:uid="{00000000-0010-0000-0000-000002000000}" name="OS Cliente" dataDxfId="32" dataCellStyle="Normal 2"/>
    <tableColumn id="3" xr3:uid="{00000000-0010-0000-0000-000003000000}" name="Denominação OS" dataDxfId="31" dataCellStyle="Normal 2"/>
    <tableColumn id="4" xr3:uid="{00000000-0010-0000-0000-000004000000}" name="Descrição OS" dataDxfId="30" dataCellStyle="Normal 2"/>
    <tableColumn id="5" xr3:uid="{00000000-0010-0000-0000-000005000000}" name="Ativo" dataDxfId="29" dataCellStyle="Normal 2"/>
    <tableColumn id="6" xr3:uid="{00000000-0010-0000-0000-000006000000}" name="Denominação Ativo" dataDxfId="28" dataCellStyle="Normal 2"/>
    <tableColumn id="7" xr3:uid="{00000000-0010-0000-0000-000007000000}" name="Denominação Unidade Negócio" dataDxfId="27" dataCellStyle="Normal 2"/>
    <tableColumn id="8" xr3:uid="{00000000-0010-0000-0000-000008000000}" name="Estado OS" dataDxfId="26" dataCellStyle="Normal 2"/>
    <tableColumn id="9" xr3:uid="{00000000-0010-0000-0000-000009000000}" name="Denominação Estado OS" dataDxfId="25" dataCellStyle="Normal 2"/>
    <tableColumn id="10" xr3:uid="{00000000-0010-0000-0000-00000A000000}" name="Solicitante" dataDxfId="24" dataCellStyle="Normal 2"/>
    <tableColumn id="11" xr3:uid="{00000000-0010-0000-0000-00000B000000}" name="Denominação do Solicitante" dataDxfId="23" dataCellStyle="Normal 2"/>
    <tableColumn id="12" xr3:uid="{00000000-0010-0000-0000-00000C000000}" name="Tipo Solic. de Serviço" dataDxfId="22" dataCellStyle="Normal 2"/>
    <tableColumn id="13" xr3:uid="{00000000-0010-0000-0000-00000D000000}" name="Denominação Tipo de Solicitação Serviço" dataDxfId="21" dataCellStyle="Normal 2"/>
    <tableColumn id="27" xr3:uid="{46D717AC-1064-425F-81EA-522E70ADA2DD}" name="Oficina" dataDxfId="20" dataCellStyle="Normal 2"/>
    <tableColumn id="28" xr3:uid="{534AD833-9554-45F3-8A0D-72CF4A98CBFB}" name="Denominação Oficina" dataDxfId="19" dataCellStyle="Normal 2"/>
    <tableColumn id="14" xr3:uid="{00000000-0010-0000-0000-00000E000000}" name="Data Prevista" dataDxfId="18" dataCellStyle="Normal 2"/>
    <tableColumn id="15" xr3:uid="{00000000-0010-0000-0000-00000F000000}" name="Data/Hora Fechamento" dataDxfId="17" dataCellStyle="Normal 2"/>
    <tableColumn id="16" xr3:uid="{00000000-0010-0000-0000-000010000000}" name="Prioridade" dataDxfId="16" dataCellStyle="Normal 2"/>
    <tableColumn id="25" xr3:uid="{402D39DE-BBCF-4E8B-A287-E87BEF56FD57}" name="Data/Hora Solicitação" dataDxfId="15" dataCellStyle="Normal 2"/>
    <tableColumn id="29" xr3:uid="{83D02C51-0F74-4A58-AB27-D558B5753CB2}" name="Observações do Serviço" dataDxfId="14" dataCellStyle="Normal 2"/>
    <tableColumn id="17" xr3:uid="{0BB3504F-F524-4A07-A090-E2ADBC4DDFF6}" name="Data de Prioridade" dataDxfId="13" dataCellStyle="Normal 2"/>
    <tableColumn id="18" xr3:uid="{2F35C7E1-A5C8-4CBE-B3E9-785641B463B1}" name="Dias p/ Vencimento" dataDxfId="12" dataCellStyle="Normal 2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1F30D2-D43F-4875-9C00-C8D03398F156}" name="Listagem" displayName="Listagem" ref="B6:I7" insertRow="1" totalsRowShown="0" headerRowDxfId="10" headerRowBorderDxfId="9" tableBorderDxfId="8">
  <autoFilter ref="B6:I7" xr:uid="{FA7C2585-AB7C-47F9-B0B8-78FE95572969}"/>
  <tableColumns count="8">
    <tableColumn id="1" xr3:uid="{4E5A93AC-F608-4992-9D61-1BFC74B02DA8}" name="Item" dataDxfId="7">
      <calculatedColumnFormula array="1">IF(Listagem[[#This Row],[OS Cliente]]="","",CELL("row",Listagem[[#This Row],[OS Cliente]])-6)</calculatedColumnFormula>
    </tableColumn>
    <tableColumn id="2" xr3:uid="{A173839A-EFE3-4452-ADF0-3663052B11F8}" name="OS Cliente" dataDxfId="6">
      <calculatedColumnFormula>IF(Listagem[[#This Row],[Número OS]]="","",_xlfn.XLOOKUP(Listagem[[#This Row],[Número OS]],Sisteplant[Número OS],Sisteplant[OS Cliente]))</calculatedColumnFormula>
    </tableColumn>
    <tableColumn id="3" xr3:uid="{77FFFAA8-B386-4381-B17F-26ACAA1145EB}" name="Número OS" dataDxfId="5"/>
    <tableColumn id="4" xr3:uid="{AA0BF169-8FDF-4AA8-8D7C-D1D47BFD09D7}" name="Data Prevista" dataDxfId="4">
      <calculatedColumnFormula>IF(Listagem[[#This Row],[Número OS]]="","",_xlfn.XLOOKUP(Listagem[[#This Row],[Número OS]],Sisteplant[Número OS],Sisteplant[Data Prevista]))</calculatedColumnFormula>
    </tableColumn>
    <tableColumn id="5" xr3:uid="{0CF36E34-AF84-459A-A8BA-2709F161145D}" name="Denominação OS" dataDxfId="3">
      <calculatedColumnFormula>IF(Listagem[[#This Row],[Número OS]]="","",_xlfn.XLOOKUP(Listagem[[#This Row],[Número OS]],Sisteplant[Número OS],Sisteplant[Denominação OS]))</calculatedColumnFormula>
    </tableColumn>
    <tableColumn id="6" xr3:uid="{9CAD4FF4-3872-42B4-B50E-B57C54FCD07F}" name="Denominação Oficina" dataDxfId="2">
      <calculatedColumnFormula>IF(Listagem[[#This Row],[Número OS]]="","",_xlfn.XLOOKUP(Listagem[[#This Row],[Número OS]],Sisteplant[Número OS],Sisteplant[Denominação Oficina]))</calculatedColumnFormula>
    </tableColumn>
    <tableColumn id="7" xr3:uid="{B771A7FA-FFD3-4C45-8507-EDF9D6D45D34}" name="Denominação Ativo" dataDxfId="1">
      <calculatedColumnFormula>IF(Listagem[[#This Row],[Número OS]]="","",_xlfn.XLOOKUP(Listagem[[#This Row],[Número OS]],Sisteplant[Número OS],Sisteplant[Denominação Ativo]))</calculatedColumnFormula>
    </tableColumn>
    <tableColumn id="8" xr3:uid="{2B429C6D-F98D-4A24-A8D8-34A97B31A0FD}" name="Denominação Estado OS" dataDxfId="0">
      <calculatedColumnFormula>IF(Listagem[[#This Row],[Número OS]]="","",_xlfn.XLOOKUP(Listagem[[#This Row],[Número OS]],Sisteplant[Número OS],Sisteplant[Denominação Estado OS]))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isteplant">
    <tabColor rgb="FFFFFF00"/>
    <pageSetUpPr fitToPage="1"/>
  </sheetPr>
  <dimension ref="A1:V661"/>
  <sheetViews>
    <sheetView showGridLines="0" tabSelected="1" zoomScale="110" zoomScaleNormal="110" workbookViewId="0">
      <pane xSplit="3" ySplit="2" topLeftCell="S3" activePane="bottomRight" state="frozen"/>
      <selection pane="topRight" activeCell="D1" sqref="D1"/>
      <selection pane="bottomLeft" activeCell="A6" sqref="A6"/>
      <selection pane="bottomRight" activeCell="A3" sqref="A3:V580"/>
    </sheetView>
  </sheetViews>
  <sheetFormatPr defaultColWidth="13" defaultRowHeight="12" x14ac:dyDescent="0.2"/>
  <cols>
    <col min="1" max="2" width="13" style="28" customWidth="1"/>
    <col min="3" max="3" width="99.140625" style="26" customWidth="1"/>
    <col min="4" max="4" width="49.140625" style="26" customWidth="1"/>
    <col min="5" max="5" width="19.7109375" style="29" customWidth="1"/>
    <col min="6" max="6" width="54.28515625" style="26" customWidth="1"/>
    <col min="7" max="7" width="17.42578125" style="30" customWidth="1"/>
    <col min="8" max="8" width="8.42578125" style="28" customWidth="1"/>
    <col min="9" max="9" width="22.140625" style="26" customWidth="1"/>
    <col min="10" max="10" width="13" style="26" customWidth="1"/>
    <col min="11" max="11" width="36.85546875" style="26" customWidth="1"/>
    <col min="12" max="12" width="11.42578125" style="28" customWidth="1"/>
    <col min="13" max="13" width="19" style="31" customWidth="1"/>
    <col min="14" max="14" width="11.42578125" style="31" customWidth="1"/>
    <col min="15" max="15" width="19" style="31" customWidth="1"/>
    <col min="16" max="16" width="16" style="31" customWidth="1"/>
    <col min="17" max="17" width="16.140625" style="27" customWidth="1"/>
    <col min="18" max="18" width="12.140625" style="26" customWidth="1"/>
    <col min="19" max="19" width="19.140625" style="26" bestFit="1" customWidth="1"/>
    <col min="20" max="20" width="18.7109375" style="26" customWidth="1"/>
    <col min="21" max="21" width="18.42578125" style="35" customWidth="1"/>
    <col min="22" max="16384" width="13" style="35"/>
  </cols>
  <sheetData>
    <row r="1" spans="1:22" s="36" customFormat="1" ht="24" x14ac:dyDescent="0.25">
      <c r="A1" s="47" t="s">
        <v>0</v>
      </c>
      <c r="B1" s="47" t="s">
        <v>1</v>
      </c>
      <c r="C1" s="4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1177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17" t="s">
        <v>1178</v>
      </c>
      <c r="P1" s="18" t="s">
        <v>15</v>
      </c>
      <c r="Q1" s="18" t="s">
        <v>16</v>
      </c>
      <c r="R1" s="19" t="s">
        <v>17</v>
      </c>
      <c r="S1" s="19" t="s">
        <v>18</v>
      </c>
      <c r="T1" s="19" t="s">
        <v>19</v>
      </c>
      <c r="U1" s="19" t="s">
        <v>20</v>
      </c>
      <c r="V1" s="19" t="s">
        <v>21</v>
      </c>
    </row>
    <row r="2" spans="1:22" s="37" customFormat="1" ht="14.1" hidden="1" customHeight="1" x14ac:dyDescent="0.2">
      <c r="A2" s="48" t="s">
        <v>0</v>
      </c>
      <c r="B2" s="48" t="s">
        <v>1</v>
      </c>
      <c r="C2" s="49" t="s">
        <v>2</v>
      </c>
      <c r="D2" s="21" t="s">
        <v>3</v>
      </c>
      <c r="E2" s="22" t="s">
        <v>4</v>
      </c>
      <c r="F2" s="21" t="s">
        <v>5</v>
      </c>
      <c r="G2" s="22" t="s">
        <v>6</v>
      </c>
      <c r="H2" s="20" t="s">
        <v>7</v>
      </c>
      <c r="I2" s="21" t="s">
        <v>8</v>
      </c>
      <c r="J2" s="21" t="s">
        <v>9</v>
      </c>
      <c r="K2" s="21" t="s">
        <v>10</v>
      </c>
      <c r="L2" s="20" t="s">
        <v>11</v>
      </c>
      <c r="M2" s="20" t="s">
        <v>12</v>
      </c>
      <c r="N2" s="20" t="s">
        <v>13</v>
      </c>
      <c r="O2" s="20" t="s">
        <v>14</v>
      </c>
      <c r="P2" s="23" t="s">
        <v>15</v>
      </c>
      <c r="Q2" s="24" t="s">
        <v>16</v>
      </c>
      <c r="R2" s="25" t="s">
        <v>17</v>
      </c>
      <c r="S2" s="25" t="s">
        <v>18</v>
      </c>
      <c r="T2" s="25" t="s">
        <v>19</v>
      </c>
      <c r="U2" s="51" t="s">
        <v>20</v>
      </c>
      <c r="V2" s="51" t="s">
        <v>21</v>
      </c>
    </row>
    <row r="3" spans="1:22" s="50" customFormat="1" ht="12.75" customHeight="1" x14ac:dyDescent="0.15">
      <c r="A3" s="54">
        <v>118867</v>
      </c>
      <c r="B3" s="54" t="s">
        <v>616</v>
      </c>
      <c r="C3" s="54" t="s">
        <v>617</v>
      </c>
      <c r="D3" s="54" t="s">
        <v>617</v>
      </c>
      <c r="E3" s="54" t="s">
        <v>223</v>
      </c>
      <c r="F3" s="54" t="s">
        <v>224</v>
      </c>
      <c r="G3" s="54" t="s">
        <v>23</v>
      </c>
      <c r="H3" s="54" t="s">
        <v>53</v>
      </c>
      <c r="I3" s="54" t="s">
        <v>54</v>
      </c>
      <c r="J3" s="54" t="s">
        <v>618</v>
      </c>
      <c r="K3" s="54" t="s">
        <v>619</v>
      </c>
      <c r="L3" s="54" t="s">
        <v>36</v>
      </c>
      <c r="M3" s="54" t="s">
        <v>37</v>
      </c>
      <c r="N3" s="54" t="s">
        <v>76</v>
      </c>
      <c r="O3" s="54" t="s">
        <v>77</v>
      </c>
      <c r="P3" s="54">
        <v>45423</v>
      </c>
      <c r="Q3" s="54"/>
      <c r="R3" s="54" t="s">
        <v>40</v>
      </c>
      <c r="S3" s="53">
        <v>45393.478472222203</v>
      </c>
      <c r="T3" s="54" t="s">
        <v>135</v>
      </c>
      <c r="U3" s="53">
        <v>45398.645138888904</v>
      </c>
      <c r="V3" s="52">
        <v>140</v>
      </c>
    </row>
    <row r="4" spans="1:22" ht="11.25" x14ac:dyDescent="0.2">
      <c r="A4" s="65">
        <v>121061</v>
      </c>
      <c r="B4" s="65" t="s">
        <v>1171</v>
      </c>
      <c r="C4" s="66" t="s">
        <v>1172</v>
      </c>
      <c r="D4" s="66" t="s">
        <v>1172</v>
      </c>
      <c r="E4" s="67" t="s">
        <v>86</v>
      </c>
      <c r="F4" s="66" t="s">
        <v>87</v>
      </c>
      <c r="G4" s="67" t="s">
        <v>23</v>
      </c>
      <c r="H4" s="65" t="s">
        <v>22</v>
      </c>
      <c r="I4" s="67" t="s">
        <v>24</v>
      </c>
      <c r="J4" s="67" t="s">
        <v>649</v>
      </c>
      <c r="K4" s="67" t="s">
        <v>650</v>
      </c>
      <c r="L4" s="65" t="s">
        <v>36</v>
      </c>
      <c r="M4" s="68" t="s">
        <v>37</v>
      </c>
      <c r="N4" s="68" t="s">
        <v>76</v>
      </c>
      <c r="O4" s="68" t="s">
        <v>77</v>
      </c>
      <c r="P4" s="69">
        <v>45464</v>
      </c>
      <c r="Q4" s="70"/>
      <c r="R4" s="70" t="s">
        <v>31</v>
      </c>
      <c r="S4" s="71">
        <v>45456.2993055556</v>
      </c>
      <c r="T4" s="72" t="s">
        <v>85</v>
      </c>
      <c r="U4" s="63">
        <v>45548.2993055556</v>
      </c>
      <c r="V4" s="64">
        <v>-10</v>
      </c>
    </row>
    <row r="5" spans="1:22" ht="11.25" x14ac:dyDescent="0.2">
      <c r="A5" s="65">
        <v>303687</v>
      </c>
      <c r="B5" s="65" t="s">
        <v>103</v>
      </c>
      <c r="C5" s="66" t="s">
        <v>104</v>
      </c>
      <c r="D5" s="66" t="s">
        <v>104</v>
      </c>
      <c r="E5" s="67" t="s">
        <v>42</v>
      </c>
      <c r="F5" s="66" t="s">
        <v>43</v>
      </c>
      <c r="G5" s="67" t="s">
        <v>23</v>
      </c>
      <c r="H5" s="65" t="s">
        <v>53</v>
      </c>
      <c r="I5" s="67" t="s">
        <v>54</v>
      </c>
      <c r="J5" s="67" t="s">
        <v>74</v>
      </c>
      <c r="K5" s="67" t="s">
        <v>75</v>
      </c>
      <c r="L5" s="65" t="s">
        <v>36</v>
      </c>
      <c r="M5" s="68" t="s">
        <v>37</v>
      </c>
      <c r="N5" s="68" t="s">
        <v>57</v>
      </c>
      <c r="O5" s="68" t="s">
        <v>58</v>
      </c>
      <c r="P5" s="69">
        <v>44958.333333333299</v>
      </c>
      <c r="Q5" s="70"/>
      <c r="R5" s="70" t="s">
        <v>31</v>
      </c>
      <c r="S5" s="71">
        <v>44949.751388888901</v>
      </c>
      <c r="T5" s="72" t="s">
        <v>46</v>
      </c>
      <c r="U5" s="63">
        <v>45040.7</v>
      </c>
      <c r="V5" s="64">
        <v>498</v>
      </c>
    </row>
    <row r="6" spans="1:22" ht="11.25" x14ac:dyDescent="0.2">
      <c r="A6" s="65">
        <v>303961</v>
      </c>
      <c r="B6" s="65" t="s">
        <v>123</v>
      </c>
      <c r="C6" s="66" t="s">
        <v>124</v>
      </c>
      <c r="D6" s="66" t="s">
        <v>124</v>
      </c>
      <c r="E6" s="67" t="s">
        <v>42</v>
      </c>
      <c r="F6" s="66" t="s">
        <v>43</v>
      </c>
      <c r="G6" s="67" t="s">
        <v>23</v>
      </c>
      <c r="H6" s="65" t="s">
        <v>81</v>
      </c>
      <c r="I6" s="67" t="s">
        <v>82</v>
      </c>
      <c r="J6" s="67" t="s">
        <v>74</v>
      </c>
      <c r="K6" s="67" t="s">
        <v>75</v>
      </c>
      <c r="L6" s="65" t="s">
        <v>36</v>
      </c>
      <c r="M6" s="68" t="s">
        <v>37</v>
      </c>
      <c r="N6" s="68" t="s">
        <v>57</v>
      </c>
      <c r="O6" s="68" t="s">
        <v>58</v>
      </c>
      <c r="P6" s="69">
        <v>45013.333333333299</v>
      </c>
      <c r="Q6" s="70"/>
      <c r="R6" s="70" t="s">
        <v>47</v>
      </c>
      <c r="S6" s="71">
        <v>44980.5493055556</v>
      </c>
      <c r="T6" s="72" t="s">
        <v>46</v>
      </c>
      <c r="U6" s="63">
        <v>45152.479861111096</v>
      </c>
      <c r="V6" s="64">
        <v>386</v>
      </c>
    </row>
    <row r="7" spans="1:22" ht="11.25" x14ac:dyDescent="0.2">
      <c r="A7" s="65">
        <v>304118</v>
      </c>
      <c r="B7" s="65" t="s">
        <v>148</v>
      </c>
      <c r="C7" s="66" t="s">
        <v>149</v>
      </c>
      <c r="D7" s="66" t="s">
        <v>149</v>
      </c>
      <c r="E7" s="67" t="s">
        <v>150</v>
      </c>
      <c r="F7" s="66" t="s">
        <v>151</v>
      </c>
      <c r="G7" s="67" t="s">
        <v>33</v>
      </c>
      <c r="H7" s="65" t="s">
        <v>81</v>
      </c>
      <c r="I7" s="67" t="s">
        <v>82</v>
      </c>
      <c r="J7" s="67" t="s">
        <v>152</v>
      </c>
      <c r="K7" s="67" t="s">
        <v>153</v>
      </c>
      <c r="L7" s="65" t="s">
        <v>36</v>
      </c>
      <c r="M7" s="68" t="s">
        <v>37</v>
      </c>
      <c r="N7" s="68" t="s">
        <v>76</v>
      </c>
      <c r="O7" s="68" t="s">
        <v>77</v>
      </c>
      <c r="P7" s="69">
        <v>45030.333333333299</v>
      </c>
      <c r="Q7" s="70"/>
      <c r="R7" s="70" t="s">
        <v>31</v>
      </c>
      <c r="S7" s="71">
        <v>45021.522916666698</v>
      </c>
      <c r="T7" s="72" t="s">
        <v>154</v>
      </c>
      <c r="U7" s="63">
        <v>45119.516666666699</v>
      </c>
      <c r="V7" s="64">
        <v>419</v>
      </c>
    </row>
    <row r="8" spans="1:22" ht="11.25" x14ac:dyDescent="0.2">
      <c r="A8" s="65">
        <v>304190</v>
      </c>
      <c r="B8" s="65" t="s">
        <v>162</v>
      </c>
      <c r="C8" s="66" t="s">
        <v>163</v>
      </c>
      <c r="D8" s="66" t="s">
        <v>163</v>
      </c>
      <c r="E8" s="67" t="s">
        <v>105</v>
      </c>
      <c r="F8" s="66" t="s">
        <v>106</v>
      </c>
      <c r="G8" s="67" t="s">
        <v>23</v>
      </c>
      <c r="H8" s="65" t="s">
        <v>22</v>
      </c>
      <c r="I8" s="67" t="s">
        <v>24</v>
      </c>
      <c r="J8" s="67" t="s">
        <v>107</v>
      </c>
      <c r="K8" s="67" t="s">
        <v>108</v>
      </c>
      <c r="L8" s="65" t="s">
        <v>36</v>
      </c>
      <c r="M8" s="68" t="s">
        <v>37</v>
      </c>
      <c r="N8" s="68" t="s">
        <v>29</v>
      </c>
      <c r="O8" s="68" t="s">
        <v>30</v>
      </c>
      <c r="P8" s="69">
        <v>45448.577083333301</v>
      </c>
      <c r="Q8" s="70"/>
      <c r="R8" s="70" t="s">
        <v>31</v>
      </c>
      <c r="S8" s="71">
        <v>45041.354861111096</v>
      </c>
      <c r="T8" s="72" t="s">
        <v>109</v>
      </c>
      <c r="U8" s="63">
        <v>45140.5</v>
      </c>
      <c r="V8" s="64">
        <v>398</v>
      </c>
    </row>
    <row r="9" spans="1:22" ht="11.25" x14ac:dyDescent="0.2">
      <c r="A9" s="65">
        <v>304212</v>
      </c>
      <c r="B9" s="65" t="s">
        <v>168</v>
      </c>
      <c r="C9" s="66" t="s">
        <v>169</v>
      </c>
      <c r="D9" s="66" t="s">
        <v>169</v>
      </c>
      <c r="E9" s="67" t="s">
        <v>164</v>
      </c>
      <c r="F9" s="66" t="s">
        <v>165</v>
      </c>
      <c r="G9" s="67" t="s">
        <v>33</v>
      </c>
      <c r="H9" s="65" t="s">
        <v>22</v>
      </c>
      <c r="I9" s="67" t="s">
        <v>24</v>
      </c>
      <c r="J9" s="67" t="s">
        <v>170</v>
      </c>
      <c r="K9" s="67" t="s">
        <v>171</v>
      </c>
      <c r="L9" s="65" t="s">
        <v>36</v>
      </c>
      <c r="M9" s="68" t="s">
        <v>37</v>
      </c>
      <c r="N9" s="68" t="s">
        <v>29</v>
      </c>
      <c r="O9" s="68" t="s">
        <v>30</v>
      </c>
      <c r="P9" s="69">
        <v>45061.333333333299</v>
      </c>
      <c r="Q9" s="70"/>
      <c r="R9" s="70" t="s">
        <v>31</v>
      </c>
      <c r="S9" s="71">
        <v>45051.391666666699</v>
      </c>
      <c r="T9" s="72" t="s">
        <v>166</v>
      </c>
      <c r="U9" s="63">
        <v>45142.372916666704</v>
      </c>
      <c r="V9" s="64">
        <v>396</v>
      </c>
    </row>
    <row r="10" spans="1:22" ht="11.25" x14ac:dyDescent="0.2">
      <c r="A10" s="65">
        <v>304221</v>
      </c>
      <c r="B10" s="65" t="s">
        <v>172</v>
      </c>
      <c r="C10" s="66" t="s">
        <v>173</v>
      </c>
      <c r="D10" s="66" t="s">
        <v>174</v>
      </c>
      <c r="E10" s="67" t="s">
        <v>175</v>
      </c>
      <c r="F10" s="66" t="s">
        <v>176</v>
      </c>
      <c r="G10" s="67" t="s">
        <v>23</v>
      </c>
      <c r="H10" s="65" t="s">
        <v>22</v>
      </c>
      <c r="I10" s="67" t="s">
        <v>24</v>
      </c>
      <c r="J10" s="67" t="s">
        <v>114</v>
      </c>
      <c r="K10" s="67" t="s">
        <v>115</v>
      </c>
      <c r="L10" s="65" t="s">
        <v>27</v>
      </c>
      <c r="M10" s="68" t="s">
        <v>28</v>
      </c>
      <c r="N10" s="68" t="s">
        <v>57</v>
      </c>
      <c r="O10" s="68" t="s">
        <v>58</v>
      </c>
      <c r="P10" s="69">
        <v>45073.25</v>
      </c>
      <c r="Q10" s="70"/>
      <c r="R10" s="70" t="s">
        <v>31</v>
      </c>
      <c r="S10" s="71">
        <v>45058.386805555601</v>
      </c>
      <c r="T10" s="72"/>
      <c r="U10" s="63">
        <v>45148.386805555601</v>
      </c>
      <c r="V10" s="64">
        <v>390</v>
      </c>
    </row>
    <row r="11" spans="1:22" ht="11.25" x14ac:dyDescent="0.2">
      <c r="A11" s="65">
        <v>304232</v>
      </c>
      <c r="B11" s="65" t="s">
        <v>177</v>
      </c>
      <c r="C11" s="66" t="s">
        <v>178</v>
      </c>
      <c r="D11" s="66" t="s">
        <v>178</v>
      </c>
      <c r="E11" s="67" t="s">
        <v>105</v>
      </c>
      <c r="F11" s="66" t="s">
        <v>106</v>
      </c>
      <c r="G11" s="67" t="s">
        <v>23</v>
      </c>
      <c r="H11" s="65" t="s">
        <v>49</v>
      </c>
      <c r="I11" s="67" t="s">
        <v>50</v>
      </c>
      <c r="J11" s="67" t="s">
        <v>181</v>
      </c>
      <c r="K11" s="67" t="s">
        <v>182</v>
      </c>
      <c r="L11" s="65" t="s">
        <v>36</v>
      </c>
      <c r="M11" s="68" t="s">
        <v>37</v>
      </c>
      <c r="N11" s="68" t="s">
        <v>29</v>
      </c>
      <c r="O11" s="68" t="s">
        <v>30</v>
      </c>
      <c r="P11" s="69"/>
      <c r="Q11" s="70"/>
      <c r="R11" s="70" t="s">
        <v>31</v>
      </c>
      <c r="S11" s="71">
        <v>45051.3972222222</v>
      </c>
      <c r="T11" s="72" t="s">
        <v>109</v>
      </c>
      <c r="U11" s="63">
        <v>45151.427777777797</v>
      </c>
      <c r="V11" s="64">
        <v>387</v>
      </c>
    </row>
    <row r="12" spans="1:22" ht="11.25" x14ac:dyDescent="0.2">
      <c r="A12" s="65">
        <v>304292</v>
      </c>
      <c r="B12" s="65" t="s">
        <v>1373</v>
      </c>
      <c r="C12" s="66" t="s">
        <v>1374</v>
      </c>
      <c r="D12" s="66" t="s">
        <v>1374</v>
      </c>
      <c r="E12" s="67" t="s">
        <v>1375</v>
      </c>
      <c r="F12" s="66" t="s">
        <v>1376</v>
      </c>
      <c r="G12" s="67" t="s">
        <v>33</v>
      </c>
      <c r="H12" s="65" t="s">
        <v>467</v>
      </c>
      <c r="I12" s="67" t="s">
        <v>468</v>
      </c>
      <c r="J12" s="67" t="s">
        <v>126</v>
      </c>
      <c r="K12" s="67" t="s">
        <v>127</v>
      </c>
      <c r="L12" s="65" t="s">
        <v>36</v>
      </c>
      <c r="M12" s="68" t="s">
        <v>37</v>
      </c>
      <c r="N12" s="68" t="s">
        <v>29</v>
      </c>
      <c r="O12" s="68" t="s">
        <v>30</v>
      </c>
      <c r="P12" s="69">
        <v>45449.579861111102</v>
      </c>
      <c r="Q12" s="70">
        <v>45465.3840277778</v>
      </c>
      <c r="R12" s="70" t="s">
        <v>31</v>
      </c>
      <c r="S12" s="71">
        <v>45069.584027777797</v>
      </c>
      <c r="T12" s="72" t="s">
        <v>1377</v>
      </c>
      <c r="U12" s="63">
        <v>45161.461111111101</v>
      </c>
      <c r="V12" s="64">
        <v>377</v>
      </c>
    </row>
    <row r="13" spans="1:22" ht="11.25" x14ac:dyDescent="0.2">
      <c r="A13" s="65">
        <v>304338</v>
      </c>
      <c r="B13" s="65" t="s">
        <v>1378</v>
      </c>
      <c r="C13" s="66" t="s">
        <v>1379</v>
      </c>
      <c r="D13" s="66" t="s">
        <v>1379</v>
      </c>
      <c r="E13" s="67" t="s">
        <v>183</v>
      </c>
      <c r="F13" s="66" t="s">
        <v>184</v>
      </c>
      <c r="G13" s="67" t="s">
        <v>23</v>
      </c>
      <c r="H13" s="65" t="s">
        <v>467</v>
      </c>
      <c r="I13" s="67" t="s">
        <v>468</v>
      </c>
      <c r="J13" s="67" t="s">
        <v>66</v>
      </c>
      <c r="K13" s="67" t="s">
        <v>67</v>
      </c>
      <c r="L13" s="65" t="s">
        <v>36</v>
      </c>
      <c r="M13" s="68" t="s">
        <v>37</v>
      </c>
      <c r="N13" s="68" t="s">
        <v>201</v>
      </c>
      <c r="O13" s="68" t="s">
        <v>202</v>
      </c>
      <c r="P13" s="69"/>
      <c r="Q13" s="70">
        <v>45465.384722222203</v>
      </c>
      <c r="R13" s="70" t="s">
        <v>31</v>
      </c>
      <c r="S13" s="71">
        <v>45054.3930555556</v>
      </c>
      <c r="T13" s="72" t="s">
        <v>1380</v>
      </c>
      <c r="U13" s="63">
        <v>45179.684027777803</v>
      </c>
      <c r="V13" s="64">
        <v>359</v>
      </c>
    </row>
    <row r="14" spans="1:22" ht="11.25" x14ac:dyDescent="0.2">
      <c r="A14" s="65">
        <v>304339</v>
      </c>
      <c r="B14" s="65" t="s">
        <v>1309</v>
      </c>
      <c r="C14" s="66" t="s">
        <v>1310</v>
      </c>
      <c r="D14" s="66" t="s">
        <v>1310</v>
      </c>
      <c r="E14" s="67" t="s">
        <v>105</v>
      </c>
      <c r="F14" s="66" t="s">
        <v>106</v>
      </c>
      <c r="G14" s="67" t="s">
        <v>23</v>
      </c>
      <c r="H14" s="65" t="s">
        <v>467</v>
      </c>
      <c r="I14" s="67" t="s">
        <v>468</v>
      </c>
      <c r="J14" s="67" t="s">
        <v>1311</v>
      </c>
      <c r="K14" s="67" t="s">
        <v>1312</v>
      </c>
      <c r="L14" s="65" t="s">
        <v>36</v>
      </c>
      <c r="M14" s="68" t="s">
        <v>37</v>
      </c>
      <c r="N14" s="68" t="s">
        <v>29</v>
      </c>
      <c r="O14" s="68" t="s">
        <v>30</v>
      </c>
      <c r="P14" s="69"/>
      <c r="Q14" s="70">
        <v>45465.399305555598</v>
      </c>
      <c r="R14" s="70" t="s">
        <v>31</v>
      </c>
      <c r="S14" s="71">
        <v>45089.293055555601</v>
      </c>
      <c r="T14" s="72" t="s">
        <v>109</v>
      </c>
      <c r="U14" s="63">
        <v>45179.684027777803</v>
      </c>
      <c r="V14" s="64">
        <v>359</v>
      </c>
    </row>
    <row r="15" spans="1:22" ht="11.25" x14ac:dyDescent="0.2">
      <c r="A15" s="65">
        <v>304342</v>
      </c>
      <c r="B15" s="65" t="s">
        <v>205</v>
      </c>
      <c r="C15" s="66" t="s">
        <v>206</v>
      </c>
      <c r="D15" s="66" t="s">
        <v>225</v>
      </c>
      <c r="E15" s="67" t="s">
        <v>187</v>
      </c>
      <c r="F15" s="66" t="s">
        <v>188</v>
      </c>
      <c r="G15" s="67" t="s">
        <v>23</v>
      </c>
      <c r="H15" s="65" t="s">
        <v>22</v>
      </c>
      <c r="I15" s="67" t="s">
        <v>24</v>
      </c>
      <c r="J15" s="67" t="s">
        <v>189</v>
      </c>
      <c r="K15" s="67" t="s">
        <v>190</v>
      </c>
      <c r="L15" s="65" t="s">
        <v>36</v>
      </c>
      <c r="M15" s="68" t="s">
        <v>37</v>
      </c>
      <c r="N15" s="68" t="s">
        <v>29</v>
      </c>
      <c r="O15" s="68" t="s">
        <v>30</v>
      </c>
      <c r="P15" s="69"/>
      <c r="Q15" s="70"/>
      <c r="R15" s="70" t="s">
        <v>31</v>
      </c>
      <c r="S15" s="71">
        <v>45071.423611111102</v>
      </c>
      <c r="T15" s="72" t="s">
        <v>99</v>
      </c>
      <c r="U15" s="63">
        <v>45179.684027777803</v>
      </c>
      <c r="V15" s="64">
        <v>359</v>
      </c>
    </row>
    <row r="16" spans="1:22" ht="11.25" x14ac:dyDescent="0.2">
      <c r="A16" s="65">
        <v>304355</v>
      </c>
      <c r="B16" s="65" t="s">
        <v>1381</v>
      </c>
      <c r="C16" s="66" t="s">
        <v>1382</v>
      </c>
      <c r="D16" s="66" t="s">
        <v>1382</v>
      </c>
      <c r="E16" s="67" t="s">
        <v>1383</v>
      </c>
      <c r="F16" s="66" t="s">
        <v>1384</v>
      </c>
      <c r="G16" s="67" t="s">
        <v>33</v>
      </c>
      <c r="H16" s="65" t="s">
        <v>467</v>
      </c>
      <c r="I16" s="67" t="s">
        <v>468</v>
      </c>
      <c r="J16" s="67" t="s">
        <v>71</v>
      </c>
      <c r="K16" s="67" t="s">
        <v>72</v>
      </c>
      <c r="L16" s="65" t="s">
        <v>36</v>
      </c>
      <c r="M16" s="68" t="s">
        <v>37</v>
      </c>
      <c r="N16" s="68" t="s">
        <v>29</v>
      </c>
      <c r="O16" s="68" t="s">
        <v>30</v>
      </c>
      <c r="P16" s="69">
        <v>45110.333333333299</v>
      </c>
      <c r="Q16" s="70">
        <v>45465.422222222202</v>
      </c>
      <c r="R16" s="70" t="s">
        <v>31</v>
      </c>
      <c r="S16" s="71">
        <v>45089.636805555601</v>
      </c>
      <c r="T16" s="72" t="s">
        <v>1385</v>
      </c>
      <c r="U16" s="63">
        <v>45179.686805555597</v>
      </c>
      <c r="V16" s="64">
        <v>359</v>
      </c>
    </row>
    <row r="17" spans="1:22" ht="11.25" x14ac:dyDescent="0.2">
      <c r="A17" s="65">
        <v>304371</v>
      </c>
      <c r="B17" s="65" t="s">
        <v>1313</v>
      </c>
      <c r="C17" s="66" t="s">
        <v>1314</v>
      </c>
      <c r="D17" s="66" t="s">
        <v>1314</v>
      </c>
      <c r="E17" s="67" t="s">
        <v>194</v>
      </c>
      <c r="F17" s="66" t="s">
        <v>195</v>
      </c>
      <c r="G17" s="67" t="s">
        <v>23</v>
      </c>
      <c r="H17" s="65" t="s">
        <v>467</v>
      </c>
      <c r="I17" s="67" t="s">
        <v>468</v>
      </c>
      <c r="J17" s="67" t="s">
        <v>121</v>
      </c>
      <c r="K17" s="67" t="s">
        <v>122</v>
      </c>
      <c r="L17" s="65" t="s">
        <v>36</v>
      </c>
      <c r="M17" s="68" t="s">
        <v>37</v>
      </c>
      <c r="N17" s="68" t="s">
        <v>57</v>
      </c>
      <c r="O17" s="68" t="s">
        <v>58</v>
      </c>
      <c r="P17" s="69">
        <v>45098.416666666701</v>
      </c>
      <c r="Q17" s="70">
        <v>45465.422916666699</v>
      </c>
      <c r="R17" s="70" t="s">
        <v>31</v>
      </c>
      <c r="S17" s="71">
        <v>45093.469444444403</v>
      </c>
      <c r="T17" s="72" t="s">
        <v>80</v>
      </c>
      <c r="U17" s="63">
        <v>45183.623611111099</v>
      </c>
      <c r="V17" s="64">
        <v>355</v>
      </c>
    </row>
    <row r="18" spans="1:22" ht="11.25" x14ac:dyDescent="0.2">
      <c r="A18" s="65">
        <v>304445</v>
      </c>
      <c r="B18" s="65" t="s">
        <v>1315</v>
      </c>
      <c r="C18" s="66" t="s">
        <v>1316</v>
      </c>
      <c r="D18" s="66" t="s">
        <v>1316</v>
      </c>
      <c r="E18" s="67" t="s">
        <v>1317</v>
      </c>
      <c r="F18" s="66" t="s">
        <v>1318</v>
      </c>
      <c r="G18" s="67" t="s">
        <v>33</v>
      </c>
      <c r="H18" s="65" t="s">
        <v>467</v>
      </c>
      <c r="I18" s="67" t="s">
        <v>468</v>
      </c>
      <c r="J18" s="67" t="s">
        <v>66</v>
      </c>
      <c r="K18" s="67" t="s">
        <v>67</v>
      </c>
      <c r="L18" s="65" t="s">
        <v>36</v>
      </c>
      <c r="M18" s="68" t="s">
        <v>37</v>
      </c>
      <c r="N18" s="68" t="s">
        <v>83</v>
      </c>
      <c r="O18" s="68" t="s">
        <v>84</v>
      </c>
      <c r="P18" s="69">
        <v>45114.333333333299</v>
      </c>
      <c r="Q18" s="70">
        <v>45465.423611111102</v>
      </c>
      <c r="R18" s="70" t="s">
        <v>31</v>
      </c>
      <c r="S18" s="71">
        <v>45113.317361111098</v>
      </c>
      <c r="T18" s="72" t="s">
        <v>1319</v>
      </c>
      <c r="U18" s="63">
        <v>45203.391666666699</v>
      </c>
      <c r="V18" s="64">
        <v>335</v>
      </c>
    </row>
    <row r="19" spans="1:22" ht="11.25" x14ac:dyDescent="0.2">
      <c r="A19" s="65">
        <v>304526</v>
      </c>
      <c r="B19" s="65" t="s">
        <v>232</v>
      </c>
      <c r="C19" s="66" t="s">
        <v>233</v>
      </c>
      <c r="D19" s="66" t="s">
        <v>233</v>
      </c>
      <c r="E19" s="67" t="s">
        <v>234</v>
      </c>
      <c r="F19" s="66" t="s">
        <v>235</v>
      </c>
      <c r="G19" s="67" t="s">
        <v>33</v>
      </c>
      <c r="H19" s="65" t="s">
        <v>81</v>
      </c>
      <c r="I19" s="67" t="s">
        <v>82</v>
      </c>
      <c r="J19" s="67" t="s">
        <v>66</v>
      </c>
      <c r="K19" s="67" t="s">
        <v>67</v>
      </c>
      <c r="L19" s="65" t="s">
        <v>36</v>
      </c>
      <c r="M19" s="68" t="s">
        <v>37</v>
      </c>
      <c r="N19" s="68" t="s">
        <v>57</v>
      </c>
      <c r="O19" s="68" t="s">
        <v>58</v>
      </c>
      <c r="P19" s="69"/>
      <c r="Q19" s="70"/>
      <c r="R19" s="70" t="s">
        <v>31</v>
      </c>
      <c r="S19" s="71">
        <v>45125.311805555597</v>
      </c>
      <c r="T19" s="72" t="s">
        <v>236</v>
      </c>
      <c r="U19" s="63">
        <v>45215.636805555601</v>
      </c>
      <c r="V19" s="64">
        <v>323</v>
      </c>
    </row>
    <row r="20" spans="1:22" ht="11.25" x14ac:dyDescent="0.2">
      <c r="A20" s="65">
        <v>304579</v>
      </c>
      <c r="B20" s="65" t="s">
        <v>1320</v>
      </c>
      <c r="C20" s="66" t="s">
        <v>1321</v>
      </c>
      <c r="D20" s="66" t="s">
        <v>1322</v>
      </c>
      <c r="E20" s="67" t="s">
        <v>1323</v>
      </c>
      <c r="F20" s="66" t="s">
        <v>1324</v>
      </c>
      <c r="G20" s="67" t="s">
        <v>33</v>
      </c>
      <c r="H20" s="65" t="s">
        <v>467</v>
      </c>
      <c r="I20" s="67" t="s">
        <v>468</v>
      </c>
      <c r="J20" s="67" t="s">
        <v>66</v>
      </c>
      <c r="K20" s="67" t="s">
        <v>67</v>
      </c>
      <c r="L20" s="65" t="s">
        <v>36</v>
      </c>
      <c r="M20" s="68" t="s">
        <v>37</v>
      </c>
      <c r="N20" s="68" t="s">
        <v>29</v>
      </c>
      <c r="O20" s="68" t="s">
        <v>30</v>
      </c>
      <c r="P20" s="69">
        <v>45155.333333333299</v>
      </c>
      <c r="Q20" s="70">
        <v>45465.4243055556</v>
      </c>
      <c r="R20" s="70" t="s">
        <v>31</v>
      </c>
      <c r="S20" s="71">
        <v>45142.377777777801</v>
      </c>
      <c r="T20" s="72" t="s">
        <v>1325</v>
      </c>
      <c r="U20" s="63">
        <v>45232.593055555597</v>
      </c>
      <c r="V20" s="64">
        <v>306</v>
      </c>
    </row>
    <row r="21" spans="1:22" ht="11.25" x14ac:dyDescent="0.2">
      <c r="A21" s="65">
        <v>304631</v>
      </c>
      <c r="B21" s="65" t="s">
        <v>1326</v>
      </c>
      <c r="C21" s="66" t="s">
        <v>1327</v>
      </c>
      <c r="D21" s="66" t="s">
        <v>1327</v>
      </c>
      <c r="E21" s="67" t="s">
        <v>1328</v>
      </c>
      <c r="F21" s="66" t="s">
        <v>1329</v>
      </c>
      <c r="G21" s="67" t="s">
        <v>33</v>
      </c>
      <c r="H21" s="65" t="s">
        <v>467</v>
      </c>
      <c r="I21" s="67" t="s">
        <v>468</v>
      </c>
      <c r="J21" s="67" t="s">
        <v>66</v>
      </c>
      <c r="K21" s="67" t="s">
        <v>67</v>
      </c>
      <c r="L21" s="65" t="s">
        <v>36</v>
      </c>
      <c r="M21" s="68" t="s">
        <v>37</v>
      </c>
      <c r="N21" s="68" t="s">
        <v>90</v>
      </c>
      <c r="O21" s="68" t="s">
        <v>91</v>
      </c>
      <c r="P21" s="69">
        <v>45155.333333333299</v>
      </c>
      <c r="Q21" s="70">
        <v>45465.425694444399</v>
      </c>
      <c r="R21" s="70" t="s">
        <v>31</v>
      </c>
      <c r="S21" s="71">
        <v>45153.699305555601</v>
      </c>
      <c r="T21" s="72" t="s">
        <v>1330</v>
      </c>
      <c r="U21" s="63">
        <v>45244.405555555597</v>
      </c>
      <c r="V21" s="64">
        <v>294</v>
      </c>
    </row>
    <row r="22" spans="1:22" ht="11.25" x14ac:dyDescent="0.2">
      <c r="A22" s="65">
        <v>304689</v>
      </c>
      <c r="B22" s="65" t="s">
        <v>247</v>
      </c>
      <c r="C22" s="66" t="s">
        <v>248</v>
      </c>
      <c r="D22" s="66" t="s">
        <v>248</v>
      </c>
      <c r="E22" s="67" t="s">
        <v>159</v>
      </c>
      <c r="F22" s="66" t="s">
        <v>160</v>
      </c>
      <c r="G22" s="67" t="s">
        <v>23</v>
      </c>
      <c r="H22" s="65" t="s">
        <v>22</v>
      </c>
      <c r="I22" s="67" t="s">
        <v>24</v>
      </c>
      <c r="J22" s="67" t="s">
        <v>249</v>
      </c>
      <c r="K22" s="67" t="s">
        <v>250</v>
      </c>
      <c r="L22" s="65" t="s">
        <v>36</v>
      </c>
      <c r="M22" s="68" t="s">
        <v>37</v>
      </c>
      <c r="N22" s="68" t="s">
        <v>29</v>
      </c>
      <c r="O22" s="68" t="s">
        <v>30</v>
      </c>
      <c r="P22" s="69">
        <v>45469.567361111098</v>
      </c>
      <c r="Q22" s="70"/>
      <c r="R22" s="70" t="s">
        <v>31</v>
      </c>
      <c r="S22" s="71">
        <v>45145.3569444444</v>
      </c>
      <c r="T22" s="72" t="s">
        <v>161</v>
      </c>
      <c r="U22" s="63">
        <v>45258.53125</v>
      </c>
      <c r="V22" s="64">
        <v>280</v>
      </c>
    </row>
    <row r="23" spans="1:22" ht="11.25" x14ac:dyDescent="0.2">
      <c r="A23" s="65">
        <v>304710</v>
      </c>
      <c r="B23" s="65" t="s">
        <v>255</v>
      </c>
      <c r="C23" s="66" t="s">
        <v>256</v>
      </c>
      <c r="D23" s="66" t="s">
        <v>1024</v>
      </c>
      <c r="E23" s="67" t="s">
        <v>223</v>
      </c>
      <c r="F23" s="66" t="s">
        <v>224</v>
      </c>
      <c r="G23" s="67" t="s">
        <v>23</v>
      </c>
      <c r="H23" s="65" t="s">
        <v>44</v>
      </c>
      <c r="I23" s="67" t="s">
        <v>45</v>
      </c>
      <c r="J23" s="67" t="s">
        <v>25</v>
      </c>
      <c r="K23" s="67" t="s">
        <v>26</v>
      </c>
      <c r="L23" s="65" t="s">
        <v>36</v>
      </c>
      <c r="M23" s="68" t="s">
        <v>37</v>
      </c>
      <c r="N23" s="68" t="s">
        <v>57</v>
      </c>
      <c r="O23" s="68" t="s">
        <v>58</v>
      </c>
      <c r="P23" s="69">
        <v>45481.333333333299</v>
      </c>
      <c r="Q23" s="70"/>
      <c r="R23" s="70" t="s">
        <v>47</v>
      </c>
      <c r="S23" s="71">
        <v>45149.613888888904</v>
      </c>
      <c r="T23" s="72" t="s">
        <v>135</v>
      </c>
      <c r="U23" s="63">
        <v>45318.53125</v>
      </c>
      <c r="V23" s="64">
        <v>220</v>
      </c>
    </row>
    <row r="24" spans="1:22" ht="11.25" x14ac:dyDescent="0.2">
      <c r="A24" s="65">
        <v>304715</v>
      </c>
      <c r="B24" s="65" t="s">
        <v>257</v>
      </c>
      <c r="C24" s="66" t="s">
        <v>258</v>
      </c>
      <c r="D24" s="66" t="s">
        <v>285</v>
      </c>
      <c r="E24" s="67" t="s">
        <v>259</v>
      </c>
      <c r="F24" s="66" t="s">
        <v>260</v>
      </c>
      <c r="G24" s="67" t="s">
        <v>23</v>
      </c>
      <c r="H24" s="65" t="s">
        <v>22</v>
      </c>
      <c r="I24" s="67" t="s">
        <v>24</v>
      </c>
      <c r="J24" s="67" t="s">
        <v>230</v>
      </c>
      <c r="K24" s="67" t="s">
        <v>231</v>
      </c>
      <c r="L24" s="65" t="s">
        <v>36</v>
      </c>
      <c r="M24" s="68" t="s">
        <v>37</v>
      </c>
      <c r="N24" s="68" t="s">
        <v>83</v>
      </c>
      <c r="O24" s="68" t="s">
        <v>84</v>
      </c>
      <c r="P24" s="69"/>
      <c r="Q24" s="70"/>
      <c r="R24" s="70" t="s">
        <v>31</v>
      </c>
      <c r="S24" s="71">
        <v>45142.447222222203</v>
      </c>
      <c r="T24" s="72" t="s">
        <v>96</v>
      </c>
      <c r="U24" s="63">
        <v>45258.53125</v>
      </c>
      <c r="V24" s="64">
        <v>280</v>
      </c>
    </row>
    <row r="25" spans="1:22" ht="11.25" x14ac:dyDescent="0.2">
      <c r="A25" s="65">
        <v>304722</v>
      </c>
      <c r="B25" s="65" t="s">
        <v>263</v>
      </c>
      <c r="C25" s="66" t="s">
        <v>264</v>
      </c>
      <c r="D25" s="66" t="s">
        <v>264</v>
      </c>
      <c r="E25" s="67" t="s">
        <v>63</v>
      </c>
      <c r="F25" s="66" t="s">
        <v>64</v>
      </c>
      <c r="G25" s="67" t="s">
        <v>33</v>
      </c>
      <c r="H25" s="65" t="s">
        <v>34</v>
      </c>
      <c r="I25" s="67" t="s">
        <v>35</v>
      </c>
      <c r="J25" s="67" t="s">
        <v>265</v>
      </c>
      <c r="K25" s="67" t="s">
        <v>266</v>
      </c>
      <c r="L25" s="65" t="s">
        <v>36</v>
      </c>
      <c r="M25" s="68" t="s">
        <v>37</v>
      </c>
      <c r="N25" s="68" t="s">
        <v>29</v>
      </c>
      <c r="O25" s="68" t="s">
        <v>30</v>
      </c>
      <c r="P25" s="69">
        <v>45286.25</v>
      </c>
      <c r="Q25" s="70"/>
      <c r="R25" s="70" t="s">
        <v>31</v>
      </c>
      <c r="S25" s="71">
        <v>45129.834027777797</v>
      </c>
      <c r="T25" s="72" t="s">
        <v>65</v>
      </c>
      <c r="U25" s="63">
        <v>45258.53125</v>
      </c>
      <c r="V25" s="64">
        <v>280</v>
      </c>
    </row>
    <row r="26" spans="1:22" ht="11.25" x14ac:dyDescent="0.2">
      <c r="A26" s="65">
        <v>304750</v>
      </c>
      <c r="B26" s="65" t="s">
        <v>272</v>
      </c>
      <c r="C26" s="66" t="s">
        <v>273</v>
      </c>
      <c r="D26" s="66" t="s">
        <v>273</v>
      </c>
      <c r="E26" s="67" t="s">
        <v>270</v>
      </c>
      <c r="F26" s="66" t="s">
        <v>271</v>
      </c>
      <c r="G26" s="67" t="s">
        <v>23</v>
      </c>
      <c r="H26" s="65" t="s">
        <v>22</v>
      </c>
      <c r="I26" s="67" t="s">
        <v>24</v>
      </c>
      <c r="J26" s="67" t="s">
        <v>107</v>
      </c>
      <c r="K26" s="67" t="s">
        <v>108</v>
      </c>
      <c r="L26" s="65" t="s">
        <v>36</v>
      </c>
      <c r="M26" s="68" t="s">
        <v>37</v>
      </c>
      <c r="N26" s="68" t="s">
        <v>29</v>
      </c>
      <c r="O26" s="68" t="s">
        <v>30</v>
      </c>
      <c r="P26" s="69">
        <v>45488.702777777798</v>
      </c>
      <c r="Q26" s="70"/>
      <c r="R26" s="70" t="s">
        <v>31</v>
      </c>
      <c r="S26" s="71">
        <v>45173.519444444399</v>
      </c>
      <c r="T26" s="72" t="s">
        <v>109</v>
      </c>
      <c r="U26" s="63">
        <v>45264.511111111096</v>
      </c>
      <c r="V26" s="64">
        <v>274</v>
      </c>
    </row>
    <row r="27" spans="1:22" ht="11.25" x14ac:dyDescent="0.2">
      <c r="A27" s="65">
        <v>304758</v>
      </c>
      <c r="B27" s="65" t="s">
        <v>1386</v>
      </c>
      <c r="C27" s="66" t="s">
        <v>1387</v>
      </c>
      <c r="D27" s="66" t="s">
        <v>1388</v>
      </c>
      <c r="E27" s="67" t="s">
        <v>145</v>
      </c>
      <c r="F27" s="66" t="s">
        <v>145</v>
      </c>
      <c r="G27" s="67" t="s">
        <v>23</v>
      </c>
      <c r="H27" s="65" t="s">
        <v>467</v>
      </c>
      <c r="I27" s="67" t="s">
        <v>468</v>
      </c>
      <c r="J27" s="67" t="s">
        <v>66</v>
      </c>
      <c r="K27" s="67" t="s">
        <v>67</v>
      </c>
      <c r="L27" s="65" t="s">
        <v>36</v>
      </c>
      <c r="M27" s="68" t="s">
        <v>37</v>
      </c>
      <c r="N27" s="68" t="s">
        <v>29</v>
      </c>
      <c r="O27" s="68" t="s">
        <v>30</v>
      </c>
      <c r="P27" s="69">
        <v>45184.333333333299</v>
      </c>
      <c r="Q27" s="70">
        <v>45465.427777777797</v>
      </c>
      <c r="R27" s="70" t="s">
        <v>40</v>
      </c>
      <c r="S27" s="71">
        <v>45174.728472222203</v>
      </c>
      <c r="T27" s="72" t="s">
        <v>1389</v>
      </c>
      <c r="U27" s="63">
        <v>45175.661805555603</v>
      </c>
      <c r="V27" s="64">
        <v>363</v>
      </c>
    </row>
    <row r="28" spans="1:22" ht="11.25" x14ac:dyDescent="0.2">
      <c r="A28" s="65">
        <v>304789</v>
      </c>
      <c r="B28" s="65" t="s">
        <v>1390</v>
      </c>
      <c r="C28" s="66" t="s">
        <v>1391</v>
      </c>
      <c r="D28" s="66" t="s">
        <v>1391</v>
      </c>
      <c r="E28" s="67" t="s">
        <v>1392</v>
      </c>
      <c r="F28" s="66" t="s">
        <v>1393</v>
      </c>
      <c r="G28" s="67" t="s">
        <v>33</v>
      </c>
      <c r="H28" s="65" t="s">
        <v>467</v>
      </c>
      <c r="I28" s="67" t="s">
        <v>468</v>
      </c>
      <c r="J28" s="67" t="s">
        <v>71</v>
      </c>
      <c r="K28" s="67" t="s">
        <v>72</v>
      </c>
      <c r="L28" s="65" t="s">
        <v>36</v>
      </c>
      <c r="M28" s="68" t="s">
        <v>37</v>
      </c>
      <c r="N28" s="68" t="s">
        <v>83</v>
      </c>
      <c r="O28" s="68" t="s">
        <v>84</v>
      </c>
      <c r="P28" s="69">
        <v>45190.333333333299</v>
      </c>
      <c r="Q28" s="70">
        <v>45465.429861111101</v>
      </c>
      <c r="R28" s="70" t="s">
        <v>31</v>
      </c>
      <c r="S28" s="71">
        <v>45183.632638888899</v>
      </c>
      <c r="T28" s="72" t="s">
        <v>1394</v>
      </c>
      <c r="U28" s="63">
        <v>45274.426388888904</v>
      </c>
      <c r="V28" s="64">
        <v>264</v>
      </c>
    </row>
    <row r="29" spans="1:22" ht="11.25" x14ac:dyDescent="0.2">
      <c r="A29" s="65">
        <v>304792</v>
      </c>
      <c r="B29" s="65" t="s">
        <v>276</v>
      </c>
      <c r="C29" s="66" t="s">
        <v>277</v>
      </c>
      <c r="D29" s="66" t="s">
        <v>277</v>
      </c>
      <c r="E29" s="67" t="s">
        <v>105</v>
      </c>
      <c r="F29" s="66" t="s">
        <v>106</v>
      </c>
      <c r="G29" s="67" t="s">
        <v>23</v>
      </c>
      <c r="H29" s="65" t="s">
        <v>81</v>
      </c>
      <c r="I29" s="67" t="s">
        <v>82</v>
      </c>
      <c r="J29" s="67" t="s">
        <v>107</v>
      </c>
      <c r="K29" s="67" t="s">
        <v>108</v>
      </c>
      <c r="L29" s="65" t="s">
        <v>36</v>
      </c>
      <c r="M29" s="68" t="s">
        <v>37</v>
      </c>
      <c r="N29" s="68" t="s">
        <v>201</v>
      </c>
      <c r="O29" s="68" t="s">
        <v>202</v>
      </c>
      <c r="P29" s="69"/>
      <c r="Q29" s="70"/>
      <c r="R29" s="70" t="s">
        <v>31</v>
      </c>
      <c r="S29" s="71">
        <v>45183.436805555597</v>
      </c>
      <c r="T29" s="72" t="s">
        <v>109</v>
      </c>
      <c r="U29" s="63">
        <v>45274.447916666701</v>
      </c>
      <c r="V29" s="64">
        <v>264</v>
      </c>
    </row>
    <row r="30" spans="1:22" ht="11.25" x14ac:dyDescent="0.2">
      <c r="A30" s="65">
        <v>304807</v>
      </c>
      <c r="B30" s="65" t="s">
        <v>281</v>
      </c>
      <c r="C30" s="66" t="s">
        <v>282</v>
      </c>
      <c r="D30" s="66" t="s">
        <v>305</v>
      </c>
      <c r="E30" s="67" t="s">
        <v>101</v>
      </c>
      <c r="F30" s="66" t="s">
        <v>102</v>
      </c>
      <c r="G30" s="67" t="s">
        <v>23</v>
      </c>
      <c r="H30" s="65" t="s">
        <v>49</v>
      </c>
      <c r="I30" s="67" t="s">
        <v>50</v>
      </c>
      <c r="J30" s="67" t="s">
        <v>121</v>
      </c>
      <c r="K30" s="67" t="s">
        <v>122</v>
      </c>
      <c r="L30" s="65" t="s">
        <v>36</v>
      </c>
      <c r="M30" s="68" t="s">
        <v>37</v>
      </c>
      <c r="N30" s="68" t="s">
        <v>57</v>
      </c>
      <c r="O30" s="68" t="s">
        <v>58</v>
      </c>
      <c r="P30" s="69">
        <v>45202.333333333299</v>
      </c>
      <c r="Q30" s="70"/>
      <c r="R30" s="70" t="s">
        <v>31</v>
      </c>
      <c r="S30" s="71">
        <v>45189.305555555598</v>
      </c>
      <c r="T30" s="72" t="s">
        <v>80</v>
      </c>
      <c r="U30" s="63">
        <v>45279.382638888899</v>
      </c>
      <c r="V30" s="64">
        <v>259</v>
      </c>
    </row>
    <row r="31" spans="1:22" ht="11.25" x14ac:dyDescent="0.2">
      <c r="A31" s="65">
        <v>304813</v>
      </c>
      <c r="B31" s="65" t="s">
        <v>283</v>
      </c>
      <c r="C31" s="66" t="s">
        <v>284</v>
      </c>
      <c r="D31" s="66" t="s">
        <v>284</v>
      </c>
      <c r="E31" s="67" t="s">
        <v>86</v>
      </c>
      <c r="F31" s="66" t="s">
        <v>87</v>
      </c>
      <c r="G31" s="67" t="s">
        <v>23</v>
      </c>
      <c r="H31" s="65" t="s">
        <v>179</v>
      </c>
      <c r="I31" s="67" t="s">
        <v>180</v>
      </c>
      <c r="J31" s="67" t="s">
        <v>251</v>
      </c>
      <c r="K31" s="67" t="s">
        <v>252</v>
      </c>
      <c r="L31" s="65" t="s">
        <v>36</v>
      </c>
      <c r="M31" s="68" t="s">
        <v>37</v>
      </c>
      <c r="N31" s="68" t="s">
        <v>76</v>
      </c>
      <c r="O31" s="68" t="s">
        <v>77</v>
      </c>
      <c r="P31" s="69"/>
      <c r="Q31" s="70"/>
      <c r="R31" s="70" t="s">
        <v>40</v>
      </c>
      <c r="S31" s="71">
        <v>45188.525694444397</v>
      </c>
      <c r="T31" s="72" t="s">
        <v>85</v>
      </c>
      <c r="U31" s="63">
        <v>45189.4777777778</v>
      </c>
      <c r="V31" s="64">
        <v>349</v>
      </c>
    </row>
    <row r="32" spans="1:22" ht="11.25" x14ac:dyDescent="0.2">
      <c r="A32" s="65">
        <v>304836</v>
      </c>
      <c r="B32" s="65" t="s">
        <v>1331</v>
      </c>
      <c r="C32" s="66" t="s">
        <v>1332</v>
      </c>
      <c r="D32" s="66" t="s">
        <v>1332</v>
      </c>
      <c r="E32" s="67" t="s">
        <v>42</v>
      </c>
      <c r="F32" s="66" t="s">
        <v>43</v>
      </c>
      <c r="G32" s="67" t="s">
        <v>23</v>
      </c>
      <c r="H32" s="65" t="s">
        <v>467</v>
      </c>
      <c r="I32" s="67" t="s">
        <v>468</v>
      </c>
      <c r="J32" s="67" t="s">
        <v>1333</v>
      </c>
      <c r="K32" s="67" t="s">
        <v>1334</v>
      </c>
      <c r="L32" s="65" t="s">
        <v>36</v>
      </c>
      <c r="M32" s="68" t="s">
        <v>37</v>
      </c>
      <c r="N32" s="68" t="s">
        <v>90</v>
      </c>
      <c r="O32" s="68" t="s">
        <v>91</v>
      </c>
      <c r="P32" s="69">
        <v>45198.375</v>
      </c>
      <c r="Q32" s="70">
        <v>45465.430555555598</v>
      </c>
      <c r="R32" s="70" t="s">
        <v>31</v>
      </c>
      <c r="S32" s="71">
        <v>45194.547916666699</v>
      </c>
      <c r="T32" s="72" t="s">
        <v>46</v>
      </c>
      <c r="U32" s="63">
        <v>45284.595138888901</v>
      </c>
      <c r="V32" s="64">
        <v>254</v>
      </c>
    </row>
    <row r="33" spans="1:22" ht="11.25" x14ac:dyDescent="0.2">
      <c r="A33" s="65">
        <v>304849</v>
      </c>
      <c r="B33" s="65" t="s">
        <v>290</v>
      </c>
      <c r="C33" s="66" t="s">
        <v>291</v>
      </c>
      <c r="D33" s="66" t="s">
        <v>976</v>
      </c>
      <c r="E33" s="67" t="s">
        <v>292</v>
      </c>
      <c r="F33" s="66" t="s">
        <v>293</v>
      </c>
      <c r="G33" s="67" t="s">
        <v>23</v>
      </c>
      <c r="H33" s="65" t="s">
        <v>22</v>
      </c>
      <c r="I33" s="67" t="s">
        <v>24</v>
      </c>
      <c r="J33" s="67" t="s">
        <v>294</v>
      </c>
      <c r="K33" s="67" t="s">
        <v>295</v>
      </c>
      <c r="L33" s="65" t="s">
        <v>36</v>
      </c>
      <c r="M33" s="68" t="s">
        <v>37</v>
      </c>
      <c r="N33" s="68" t="s">
        <v>76</v>
      </c>
      <c r="O33" s="68" t="s">
        <v>77</v>
      </c>
      <c r="P33" s="69">
        <v>45432.400694444397</v>
      </c>
      <c r="Q33" s="70"/>
      <c r="R33" s="70" t="s">
        <v>40</v>
      </c>
      <c r="S33" s="71">
        <v>45196.368750000001</v>
      </c>
      <c r="T33" s="72" t="s">
        <v>80</v>
      </c>
      <c r="U33" s="63">
        <v>45198.426388888904</v>
      </c>
      <c r="V33" s="64">
        <v>340</v>
      </c>
    </row>
    <row r="34" spans="1:22" ht="11.25" x14ac:dyDescent="0.2">
      <c r="A34" s="65">
        <v>304882</v>
      </c>
      <c r="B34" s="65" t="s">
        <v>299</v>
      </c>
      <c r="C34" s="66" t="s">
        <v>300</v>
      </c>
      <c r="D34" s="66" t="s">
        <v>300</v>
      </c>
      <c r="E34" s="67" t="s">
        <v>301</v>
      </c>
      <c r="F34" s="66" t="s">
        <v>302</v>
      </c>
      <c r="G34" s="67" t="s">
        <v>33</v>
      </c>
      <c r="H34" s="65" t="s">
        <v>179</v>
      </c>
      <c r="I34" s="67" t="s">
        <v>180</v>
      </c>
      <c r="J34" s="67" t="s">
        <v>303</v>
      </c>
      <c r="K34" s="67" t="s">
        <v>304</v>
      </c>
      <c r="L34" s="65" t="s">
        <v>36</v>
      </c>
      <c r="M34" s="68" t="s">
        <v>37</v>
      </c>
      <c r="N34" s="68" t="s">
        <v>38</v>
      </c>
      <c r="O34" s="68" t="s">
        <v>39</v>
      </c>
      <c r="P34" s="69"/>
      <c r="Q34" s="70"/>
      <c r="R34" s="70" t="s">
        <v>47</v>
      </c>
      <c r="S34" s="71">
        <v>45170.398611111101</v>
      </c>
      <c r="T34" s="72" t="s">
        <v>68</v>
      </c>
      <c r="U34" s="63">
        <v>45320.398611111101</v>
      </c>
      <c r="V34" s="64">
        <v>218</v>
      </c>
    </row>
    <row r="35" spans="1:22" ht="11.25" x14ac:dyDescent="0.2">
      <c r="A35" s="65">
        <v>304925</v>
      </c>
      <c r="B35" s="65" t="s">
        <v>308</v>
      </c>
      <c r="C35" s="66" t="s">
        <v>309</v>
      </c>
      <c r="D35" s="66" t="s">
        <v>309</v>
      </c>
      <c r="E35" s="67" t="s">
        <v>63</v>
      </c>
      <c r="F35" s="66" t="s">
        <v>64</v>
      </c>
      <c r="G35" s="67" t="s">
        <v>33</v>
      </c>
      <c r="H35" s="65" t="s">
        <v>34</v>
      </c>
      <c r="I35" s="67" t="s">
        <v>35</v>
      </c>
      <c r="J35" s="67" t="s">
        <v>310</v>
      </c>
      <c r="K35" s="67" t="s">
        <v>311</v>
      </c>
      <c r="L35" s="65" t="s">
        <v>36</v>
      </c>
      <c r="M35" s="68" t="s">
        <v>37</v>
      </c>
      <c r="N35" s="68" t="s">
        <v>29</v>
      </c>
      <c r="O35" s="68" t="s">
        <v>30</v>
      </c>
      <c r="P35" s="69">
        <v>45229.333333333299</v>
      </c>
      <c r="Q35" s="70"/>
      <c r="R35" s="70" t="s">
        <v>31</v>
      </c>
      <c r="S35" s="71">
        <v>45215.421527777798</v>
      </c>
      <c r="T35" s="72" t="s">
        <v>65</v>
      </c>
      <c r="U35" s="63">
        <v>45306.438194444403</v>
      </c>
      <c r="V35" s="64">
        <v>232</v>
      </c>
    </row>
    <row r="36" spans="1:22" ht="11.25" x14ac:dyDescent="0.2">
      <c r="A36" s="65">
        <v>304926</v>
      </c>
      <c r="B36" s="65" t="s">
        <v>312</v>
      </c>
      <c r="C36" s="66" t="s">
        <v>313</v>
      </c>
      <c r="D36" s="66" t="s">
        <v>313</v>
      </c>
      <c r="E36" s="67" t="s">
        <v>136</v>
      </c>
      <c r="F36" s="66" t="s">
        <v>137</v>
      </c>
      <c r="G36" s="67" t="s">
        <v>23</v>
      </c>
      <c r="H36" s="65" t="s">
        <v>81</v>
      </c>
      <c r="I36" s="67" t="s">
        <v>82</v>
      </c>
      <c r="J36" s="67" t="s">
        <v>143</v>
      </c>
      <c r="K36" s="67" t="s">
        <v>144</v>
      </c>
      <c r="L36" s="65" t="s">
        <v>36</v>
      </c>
      <c r="M36" s="68" t="s">
        <v>37</v>
      </c>
      <c r="N36" s="68" t="s">
        <v>29</v>
      </c>
      <c r="O36" s="68" t="s">
        <v>30</v>
      </c>
      <c r="P36" s="69"/>
      <c r="Q36" s="70"/>
      <c r="R36" s="70" t="s">
        <v>31</v>
      </c>
      <c r="S36" s="71">
        <v>45208.667361111096</v>
      </c>
      <c r="T36" s="72" t="s">
        <v>140</v>
      </c>
      <c r="U36" s="63">
        <v>45306.440972222197</v>
      </c>
      <c r="V36" s="64">
        <v>232</v>
      </c>
    </row>
    <row r="37" spans="1:22" ht="11.25" x14ac:dyDescent="0.2">
      <c r="A37" s="65">
        <v>304949</v>
      </c>
      <c r="B37" s="65" t="s">
        <v>1395</v>
      </c>
      <c r="C37" s="66" t="s">
        <v>1396</v>
      </c>
      <c r="D37" s="66" t="s">
        <v>1396</v>
      </c>
      <c r="E37" s="67" t="s">
        <v>1397</v>
      </c>
      <c r="F37" s="66" t="s">
        <v>1398</v>
      </c>
      <c r="G37" s="67" t="s">
        <v>33</v>
      </c>
      <c r="H37" s="65" t="s">
        <v>467</v>
      </c>
      <c r="I37" s="67" t="s">
        <v>468</v>
      </c>
      <c r="J37" s="67" t="s">
        <v>66</v>
      </c>
      <c r="K37" s="67" t="s">
        <v>67</v>
      </c>
      <c r="L37" s="65" t="s">
        <v>36</v>
      </c>
      <c r="M37" s="68" t="s">
        <v>37</v>
      </c>
      <c r="N37" s="68" t="s">
        <v>83</v>
      </c>
      <c r="O37" s="68" t="s">
        <v>84</v>
      </c>
      <c r="P37" s="69">
        <v>45219.333333333299</v>
      </c>
      <c r="Q37" s="70">
        <v>45465.402083333298</v>
      </c>
      <c r="R37" s="70" t="s">
        <v>31</v>
      </c>
      <c r="S37" s="71">
        <v>45219.411805555603</v>
      </c>
      <c r="T37" s="72" t="s">
        <v>1399</v>
      </c>
      <c r="U37" s="63">
        <v>45309.506944444402</v>
      </c>
      <c r="V37" s="64">
        <v>229</v>
      </c>
    </row>
    <row r="38" spans="1:22" ht="11.25" x14ac:dyDescent="0.2">
      <c r="A38" s="65">
        <v>304956</v>
      </c>
      <c r="B38" s="65" t="s">
        <v>1400</v>
      </c>
      <c r="C38" s="66" t="s">
        <v>1401</v>
      </c>
      <c r="D38" s="66" t="s">
        <v>1401</v>
      </c>
      <c r="E38" s="67" t="s">
        <v>60</v>
      </c>
      <c r="F38" s="66" t="s">
        <v>61</v>
      </c>
      <c r="G38" s="67" t="s">
        <v>33</v>
      </c>
      <c r="H38" s="65" t="s">
        <v>467</v>
      </c>
      <c r="I38" s="67" t="s">
        <v>468</v>
      </c>
      <c r="J38" s="67" t="s">
        <v>1402</v>
      </c>
      <c r="K38" s="67" t="s">
        <v>1403</v>
      </c>
      <c r="L38" s="65" t="s">
        <v>36</v>
      </c>
      <c r="M38" s="68" t="s">
        <v>37</v>
      </c>
      <c r="N38" s="68" t="s">
        <v>83</v>
      </c>
      <c r="O38" s="68" t="s">
        <v>84</v>
      </c>
      <c r="P38" s="69">
        <v>45224.333333333299</v>
      </c>
      <c r="Q38" s="70">
        <v>45465.403472222199</v>
      </c>
      <c r="R38" s="70" t="s">
        <v>31</v>
      </c>
      <c r="S38" s="71">
        <v>45198.653472222199</v>
      </c>
      <c r="T38" s="72" t="s">
        <v>1404</v>
      </c>
      <c r="U38" s="63">
        <v>45310.511111111096</v>
      </c>
      <c r="V38" s="64">
        <v>228</v>
      </c>
    </row>
    <row r="39" spans="1:22" ht="11.25" x14ac:dyDescent="0.2">
      <c r="A39" s="65">
        <v>304966</v>
      </c>
      <c r="B39" s="65" t="s">
        <v>320</v>
      </c>
      <c r="C39" s="66" t="s">
        <v>321</v>
      </c>
      <c r="D39" s="66" t="s">
        <v>321</v>
      </c>
      <c r="E39" s="67" t="s">
        <v>187</v>
      </c>
      <c r="F39" s="66" t="s">
        <v>188</v>
      </c>
      <c r="G39" s="67" t="s">
        <v>23</v>
      </c>
      <c r="H39" s="65" t="s">
        <v>34</v>
      </c>
      <c r="I39" s="67" t="s">
        <v>35</v>
      </c>
      <c r="J39" s="67" t="s">
        <v>189</v>
      </c>
      <c r="K39" s="67" t="s">
        <v>190</v>
      </c>
      <c r="L39" s="65" t="s">
        <v>36</v>
      </c>
      <c r="M39" s="68" t="s">
        <v>37</v>
      </c>
      <c r="N39" s="68" t="s">
        <v>57</v>
      </c>
      <c r="O39" s="68" t="s">
        <v>58</v>
      </c>
      <c r="P39" s="69">
        <v>45453.574999999997</v>
      </c>
      <c r="Q39" s="70"/>
      <c r="R39" s="70" t="s">
        <v>31</v>
      </c>
      <c r="S39" s="71">
        <v>45224.723611111098</v>
      </c>
      <c r="T39" s="72" t="s">
        <v>99</v>
      </c>
      <c r="U39" s="63">
        <v>45315.373611111099</v>
      </c>
      <c r="V39" s="64">
        <v>223</v>
      </c>
    </row>
    <row r="40" spans="1:22" ht="11.25" x14ac:dyDescent="0.2">
      <c r="A40" s="65">
        <v>304987</v>
      </c>
      <c r="B40" s="65" t="s">
        <v>1335</v>
      </c>
      <c r="C40" s="66" t="s">
        <v>1336</v>
      </c>
      <c r="D40" s="66" t="s">
        <v>1336</v>
      </c>
      <c r="E40" s="67" t="s">
        <v>101</v>
      </c>
      <c r="F40" s="66" t="s">
        <v>102</v>
      </c>
      <c r="G40" s="67" t="s">
        <v>23</v>
      </c>
      <c r="H40" s="65" t="s">
        <v>467</v>
      </c>
      <c r="I40" s="67" t="s">
        <v>468</v>
      </c>
      <c r="J40" s="67" t="s">
        <v>25</v>
      </c>
      <c r="K40" s="67" t="s">
        <v>26</v>
      </c>
      <c r="L40" s="65" t="s">
        <v>36</v>
      </c>
      <c r="M40" s="68" t="s">
        <v>37</v>
      </c>
      <c r="N40" s="68" t="s">
        <v>201</v>
      </c>
      <c r="O40" s="68" t="s">
        <v>202</v>
      </c>
      <c r="P40" s="69"/>
      <c r="Q40" s="70">
        <v>45465.431944444397</v>
      </c>
      <c r="R40" s="70" t="s">
        <v>31</v>
      </c>
      <c r="S40" s="71">
        <v>45219.5756944444</v>
      </c>
      <c r="T40" s="72" t="s">
        <v>80</v>
      </c>
      <c r="U40" s="63">
        <v>45316.487500000003</v>
      </c>
      <c r="V40" s="64">
        <v>222</v>
      </c>
    </row>
    <row r="41" spans="1:22" ht="11.25" x14ac:dyDescent="0.2">
      <c r="A41" s="65">
        <v>304989</v>
      </c>
      <c r="B41" s="65" t="s">
        <v>323</v>
      </c>
      <c r="C41" s="66" t="s">
        <v>324</v>
      </c>
      <c r="D41" s="66" t="s">
        <v>324</v>
      </c>
      <c r="E41" s="67" t="s">
        <v>207</v>
      </c>
      <c r="F41" s="66" t="s">
        <v>208</v>
      </c>
      <c r="G41" s="67" t="s">
        <v>23</v>
      </c>
      <c r="H41" s="65" t="s">
        <v>179</v>
      </c>
      <c r="I41" s="67" t="s">
        <v>180</v>
      </c>
      <c r="J41" s="67" t="s">
        <v>25</v>
      </c>
      <c r="K41" s="67" t="s">
        <v>26</v>
      </c>
      <c r="L41" s="65" t="s">
        <v>36</v>
      </c>
      <c r="M41" s="68" t="s">
        <v>37</v>
      </c>
      <c r="N41" s="68" t="s">
        <v>201</v>
      </c>
      <c r="O41" s="68" t="s">
        <v>202</v>
      </c>
      <c r="P41" s="69"/>
      <c r="Q41" s="70"/>
      <c r="R41" s="70" t="s">
        <v>31</v>
      </c>
      <c r="S41" s="71">
        <v>45217.616666666698</v>
      </c>
      <c r="T41" s="72" t="s">
        <v>193</v>
      </c>
      <c r="U41" s="63">
        <v>45316.488888888904</v>
      </c>
      <c r="V41" s="64">
        <v>222</v>
      </c>
    </row>
    <row r="42" spans="1:22" ht="11.25" x14ac:dyDescent="0.2">
      <c r="A42" s="65">
        <v>304998</v>
      </c>
      <c r="B42" s="65" t="s">
        <v>329</v>
      </c>
      <c r="C42" s="66" t="s">
        <v>330</v>
      </c>
      <c r="D42" s="66" t="s">
        <v>330</v>
      </c>
      <c r="E42" s="67" t="s">
        <v>297</v>
      </c>
      <c r="F42" s="66" t="s">
        <v>298</v>
      </c>
      <c r="G42" s="67" t="s">
        <v>23</v>
      </c>
      <c r="H42" s="65" t="s">
        <v>179</v>
      </c>
      <c r="I42" s="67" t="s">
        <v>180</v>
      </c>
      <c r="J42" s="67" t="s">
        <v>25</v>
      </c>
      <c r="K42" s="67" t="s">
        <v>26</v>
      </c>
      <c r="L42" s="65" t="s">
        <v>36</v>
      </c>
      <c r="M42" s="68" t="s">
        <v>37</v>
      </c>
      <c r="N42" s="68" t="s">
        <v>51</v>
      </c>
      <c r="O42" s="68" t="s">
        <v>52</v>
      </c>
      <c r="P42" s="69"/>
      <c r="Q42" s="70"/>
      <c r="R42" s="70" t="s">
        <v>31</v>
      </c>
      <c r="S42" s="71">
        <v>45217.592361111099</v>
      </c>
      <c r="T42" s="72" t="s">
        <v>85</v>
      </c>
      <c r="U42" s="63">
        <v>45307.592361111099</v>
      </c>
      <c r="V42" s="64">
        <v>231</v>
      </c>
    </row>
    <row r="43" spans="1:22" ht="11.25" x14ac:dyDescent="0.2">
      <c r="A43" s="65">
        <v>305009</v>
      </c>
      <c r="B43" s="65" t="s">
        <v>331</v>
      </c>
      <c r="C43" s="66" t="s">
        <v>332</v>
      </c>
      <c r="D43" s="66" t="s">
        <v>1133</v>
      </c>
      <c r="E43" s="67" t="s">
        <v>42</v>
      </c>
      <c r="F43" s="66" t="s">
        <v>43</v>
      </c>
      <c r="G43" s="67" t="s">
        <v>23</v>
      </c>
      <c r="H43" s="65" t="s">
        <v>22</v>
      </c>
      <c r="I43" s="67" t="s">
        <v>24</v>
      </c>
      <c r="J43" s="67" t="s">
        <v>25</v>
      </c>
      <c r="K43" s="67" t="s">
        <v>26</v>
      </c>
      <c r="L43" s="65" t="s">
        <v>36</v>
      </c>
      <c r="M43" s="68" t="s">
        <v>37</v>
      </c>
      <c r="N43" s="68" t="s">
        <v>29</v>
      </c>
      <c r="O43" s="68" t="s">
        <v>30</v>
      </c>
      <c r="P43" s="69">
        <v>45461.440277777801</v>
      </c>
      <c r="Q43" s="70"/>
      <c r="R43" s="70" t="s">
        <v>31</v>
      </c>
      <c r="S43" s="71">
        <v>45209.597916666702</v>
      </c>
      <c r="T43" s="72" t="s">
        <v>46</v>
      </c>
      <c r="U43" s="63">
        <v>45299.597916666702</v>
      </c>
      <c r="V43" s="64">
        <v>239</v>
      </c>
    </row>
    <row r="44" spans="1:22" ht="11.25" x14ac:dyDescent="0.2">
      <c r="A44" s="65">
        <v>305028</v>
      </c>
      <c r="B44" s="65" t="s">
        <v>1337</v>
      </c>
      <c r="C44" s="66" t="s">
        <v>1338</v>
      </c>
      <c r="D44" s="66" t="s">
        <v>1338</v>
      </c>
      <c r="E44" s="67" t="s">
        <v>568</v>
      </c>
      <c r="F44" s="66" t="s">
        <v>569</v>
      </c>
      <c r="G44" s="67" t="s">
        <v>33</v>
      </c>
      <c r="H44" s="65" t="s">
        <v>467</v>
      </c>
      <c r="I44" s="67" t="s">
        <v>468</v>
      </c>
      <c r="J44" s="67" t="s">
        <v>1339</v>
      </c>
      <c r="K44" s="67" t="s">
        <v>1340</v>
      </c>
      <c r="L44" s="65" t="s">
        <v>36</v>
      </c>
      <c r="M44" s="68" t="s">
        <v>37</v>
      </c>
      <c r="N44" s="68" t="s">
        <v>83</v>
      </c>
      <c r="O44" s="68" t="s">
        <v>84</v>
      </c>
      <c r="P44" s="69"/>
      <c r="Q44" s="70">
        <v>45465.404166666704</v>
      </c>
      <c r="R44" s="70" t="s">
        <v>31</v>
      </c>
      <c r="S44" s="71">
        <v>45204.458333333299</v>
      </c>
      <c r="T44" s="72" t="s">
        <v>570</v>
      </c>
      <c r="U44" s="63">
        <v>45316.677777777797</v>
      </c>
      <c r="V44" s="64">
        <v>222</v>
      </c>
    </row>
    <row r="45" spans="1:22" ht="11.25" x14ac:dyDescent="0.2">
      <c r="A45" s="65">
        <v>305042</v>
      </c>
      <c r="B45" s="65" t="s">
        <v>336</v>
      </c>
      <c r="C45" s="66" t="s">
        <v>337</v>
      </c>
      <c r="D45" s="66" t="s">
        <v>338</v>
      </c>
      <c r="E45" s="67" t="s">
        <v>146</v>
      </c>
      <c r="F45" s="66" t="s">
        <v>147</v>
      </c>
      <c r="G45" s="67" t="s">
        <v>23</v>
      </c>
      <c r="H45" s="65" t="s">
        <v>179</v>
      </c>
      <c r="I45" s="67" t="s">
        <v>180</v>
      </c>
      <c r="J45" s="67" t="s">
        <v>318</v>
      </c>
      <c r="K45" s="67" t="s">
        <v>319</v>
      </c>
      <c r="L45" s="65" t="s">
        <v>36</v>
      </c>
      <c r="M45" s="68" t="s">
        <v>37</v>
      </c>
      <c r="N45" s="68" t="s">
        <v>83</v>
      </c>
      <c r="O45" s="68" t="s">
        <v>84</v>
      </c>
      <c r="P45" s="69"/>
      <c r="Q45" s="70"/>
      <c r="R45" s="70" t="s">
        <v>31</v>
      </c>
      <c r="S45" s="71">
        <v>45237.558333333298</v>
      </c>
      <c r="T45" s="72"/>
      <c r="U45" s="63">
        <v>45328.410416666702</v>
      </c>
      <c r="V45" s="64">
        <v>210</v>
      </c>
    </row>
    <row r="46" spans="1:22" ht="11.25" x14ac:dyDescent="0.2">
      <c r="A46" s="65">
        <v>305081</v>
      </c>
      <c r="B46" s="65" t="s">
        <v>343</v>
      </c>
      <c r="C46" s="66" t="s">
        <v>344</v>
      </c>
      <c r="D46" s="66" t="s">
        <v>345</v>
      </c>
      <c r="E46" s="67" t="s">
        <v>346</v>
      </c>
      <c r="F46" s="66" t="s">
        <v>347</v>
      </c>
      <c r="G46" s="67" t="s">
        <v>23</v>
      </c>
      <c r="H46" s="65" t="s">
        <v>34</v>
      </c>
      <c r="I46" s="67" t="s">
        <v>35</v>
      </c>
      <c r="J46" s="67" t="s">
        <v>181</v>
      </c>
      <c r="K46" s="67" t="s">
        <v>182</v>
      </c>
      <c r="L46" s="65" t="s">
        <v>36</v>
      </c>
      <c r="M46" s="68" t="s">
        <v>37</v>
      </c>
      <c r="N46" s="68" t="s">
        <v>201</v>
      </c>
      <c r="O46" s="68" t="s">
        <v>202</v>
      </c>
      <c r="P46" s="69">
        <v>45251.333333333299</v>
      </c>
      <c r="Q46" s="70"/>
      <c r="R46" s="70" t="s">
        <v>31</v>
      </c>
      <c r="S46" s="71">
        <v>45244.720833333296</v>
      </c>
      <c r="T46" s="72"/>
      <c r="U46" s="63">
        <v>45337.521527777797</v>
      </c>
      <c r="V46" s="64">
        <v>201</v>
      </c>
    </row>
    <row r="47" spans="1:22" ht="11.25" x14ac:dyDescent="0.2">
      <c r="A47" s="65">
        <v>305096</v>
      </c>
      <c r="B47" s="65" t="s">
        <v>352</v>
      </c>
      <c r="C47" s="66" t="s">
        <v>353</v>
      </c>
      <c r="D47" s="66" t="s">
        <v>354</v>
      </c>
      <c r="E47" s="67" t="s">
        <v>355</v>
      </c>
      <c r="F47" s="66" t="s">
        <v>356</v>
      </c>
      <c r="G47" s="67" t="s">
        <v>23</v>
      </c>
      <c r="H47" s="65" t="s">
        <v>49</v>
      </c>
      <c r="I47" s="67" t="s">
        <v>50</v>
      </c>
      <c r="J47" s="67" t="s">
        <v>357</v>
      </c>
      <c r="K47" s="67" t="s">
        <v>358</v>
      </c>
      <c r="L47" s="65" t="s">
        <v>36</v>
      </c>
      <c r="M47" s="68" t="s">
        <v>37</v>
      </c>
      <c r="N47" s="68" t="s">
        <v>90</v>
      </c>
      <c r="O47" s="68" t="s">
        <v>91</v>
      </c>
      <c r="P47" s="69"/>
      <c r="Q47" s="70"/>
      <c r="R47" s="70" t="s">
        <v>31</v>
      </c>
      <c r="S47" s="71">
        <v>45247.509722222203</v>
      </c>
      <c r="T47" s="72"/>
      <c r="U47" s="63">
        <v>45341.703472222202</v>
      </c>
      <c r="V47" s="64">
        <v>197</v>
      </c>
    </row>
    <row r="48" spans="1:22" ht="11.25" x14ac:dyDescent="0.2">
      <c r="A48" s="65">
        <v>305100</v>
      </c>
      <c r="B48" s="65" t="s">
        <v>359</v>
      </c>
      <c r="C48" s="66" t="s">
        <v>360</v>
      </c>
      <c r="D48" s="66" t="s">
        <v>361</v>
      </c>
      <c r="E48" s="67" t="s">
        <v>362</v>
      </c>
      <c r="F48" s="66" t="s">
        <v>363</v>
      </c>
      <c r="G48" s="67" t="s">
        <v>23</v>
      </c>
      <c r="H48" s="65" t="s">
        <v>179</v>
      </c>
      <c r="I48" s="67" t="s">
        <v>180</v>
      </c>
      <c r="J48" s="67" t="s">
        <v>339</v>
      </c>
      <c r="K48" s="67" t="s">
        <v>340</v>
      </c>
      <c r="L48" s="65" t="s">
        <v>36</v>
      </c>
      <c r="M48" s="68" t="s">
        <v>37</v>
      </c>
      <c r="N48" s="68" t="s">
        <v>90</v>
      </c>
      <c r="O48" s="68" t="s">
        <v>91</v>
      </c>
      <c r="P48" s="69"/>
      <c r="Q48" s="70"/>
      <c r="R48" s="70" t="s">
        <v>31</v>
      </c>
      <c r="S48" s="71">
        <v>45252.385416666701</v>
      </c>
      <c r="T48" s="72"/>
      <c r="U48" s="63">
        <v>45342.391666666699</v>
      </c>
      <c r="V48" s="64">
        <v>196</v>
      </c>
    </row>
    <row r="49" spans="1:22" ht="11.25" x14ac:dyDescent="0.2">
      <c r="A49" s="65">
        <v>305102</v>
      </c>
      <c r="B49" s="65" t="s">
        <v>364</v>
      </c>
      <c r="C49" s="66" t="s">
        <v>365</v>
      </c>
      <c r="D49" s="66" t="s">
        <v>366</v>
      </c>
      <c r="E49" s="67" t="s">
        <v>42</v>
      </c>
      <c r="F49" s="66" t="s">
        <v>43</v>
      </c>
      <c r="G49" s="67" t="s">
        <v>23</v>
      </c>
      <c r="H49" s="65" t="s">
        <v>179</v>
      </c>
      <c r="I49" s="67" t="s">
        <v>180</v>
      </c>
      <c r="J49" s="67" t="s">
        <v>327</v>
      </c>
      <c r="K49" s="67" t="s">
        <v>328</v>
      </c>
      <c r="L49" s="65" t="s">
        <v>36</v>
      </c>
      <c r="M49" s="68" t="s">
        <v>37</v>
      </c>
      <c r="N49" s="68" t="s">
        <v>90</v>
      </c>
      <c r="O49" s="68" t="s">
        <v>91</v>
      </c>
      <c r="P49" s="69"/>
      <c r="Q49" s="70"/>
      <c r="R49" s="70" t="s">
        <v>31</v>
      </c>
      <c r="S49" s="71">
        <v>45252.392361111102</v>
      </c>
      <c r="T49" s="72"/>
      <c r="U49" s="63">
        <v>45342.393750000003</v>
      </c>
      <c r="V49" s="64">
        <v>196</v>
      </c>
    </row>
    <row r="50" spans="1:22" ht="11.25" x14ac:dyDescent="0.2">
      <c r="A50" s="65">
        <v>305112</v>
      </c>
      <c r="B50" s="65" t="s">
        <v>464</v>
      </c>
      <c r="C50" s="66" t="s">
        <v>465</v>
      </c>
      <c r="D50" s="66" t="s">
        <v>466</v>
      </c>
      <c r="E50" s="67" t="s">
        <v>42</v>
      </c>
      <c r="F50" s="66" t="s">
        <v>43</v>
      </c>
      <c r="G50" s="67" t="s">
        <v>23</v>
      </c>
      <c r="H50" s="65" t="s">
        <v>467</v>
      </c>
      <c r="I50" s="67" t="s">
        <v>468</v>
      </c>
      <c r="J50" s="67" t="s">
        <v>217</v>
      </c>
      <c r="K50" s="67" t="s">
        <v>218</v>
      </c>
      <c r="L50" s="65" t="s">
        <v>36</v>
      </c>
      <c r="M50" s="68" t="s">
        <v>37</v>
      </c>
      <c r="N50" s="68" t="s">
        <v>29</v>
      </c>
      <c r="O50" s="68" t="s">
        <v>30</v>
      </c>
      <c r="P50" s="69">
        <v>45288.916666666701</v>
      </c>
      <c r="Q50" s="70">
        <v>45293.583333333299</v>
      </c>
      <c r="R50" s="70" t="s">
        <v>31</v>
      </c>
      <c r="S50" s="71">
        <v>45237.5625</v>
      </c>
      <c r="T50" s="72"/>
      <c r="U50" s="63">
        <v>45343.454166666699</v>
      </c>
      <c r="V50" s="64">
        <v>195</v>
      </c>
    </row>
    <row r="51" spans="1:22" ht="11.25" x14ac:dyDescent="0.2">
      <c r="A51" s="65">
        <v>305116</v>
      </c>
      <c r="B51" s="65" t="s">
        <v>1341</v>
      </c>
      <c r="C51" s="66" t="s">
        <v>1342</v>
      </c>
      <c r="D51" s="66" t="s">
        <v>1343</v>
      </c>
      <c r="E51" s="67" t="s">
        <v>199</v>
      </c>
      <c r="F51" s="66" t="s">
        <v>200</v>
      </c>
      <c r="G51" s="67" t="s">
        <v>23</v>
      </c>
      <c r="H51" s="65" t="s">
        <v>467</v>
      </c>
      <c r="I51" s="67" t="s">
        <v>468</v>
      </c>
      <c r="J51" s="67" t="s">
        <v>66</v>
      </c>
      <c r="K51" s="67" t="s">
        <v>67</v>
      </c>
      <c r="L51" s="65" t="s">
        <v>36</v>
      </c>
      <c r="M51" s="68" t="s">
        <v>37</v>
      </c>
      <c r="N51" s="68" t="s">
        <v>29</v>
      </c>
      <c r="O51" s="68" t="s">
        <v>30</v>
      </c>
      <c r="P51" s="69">
        <v>45252.333333333299</v>
      </c>
      <c r="Q51" s="70">
        <v>45465.434722222199</v>
      </c>
      <c r="R51" s="70" t="s">
        <v>31</v>
      </c>
      <c r="S51" s="71">
        <v>45246.333333333299</v>
      </c>
      <c r="T51" s="72"/>
      <c r="U51" s="63">
        <v>45343.622222222199</v>
      </c>
      <c r="V51" s="64">
        <v>195</v>
      </c>
    </row>
    <row r="52" spans="1:22" ht="11.25" x14ac:dyDescent="0.2">
      <c r="A52" s="65">
        <v>305151</v>
      </c>
      <c r="B52" s="65" t="s">
        <v>367</v>
      </c>
      <c r="C52" s="66" t="s">
        <v>368</v>
      </c>
      <c r="D52" s="66" t="s">
        <v>369</v>
      </c>
      <c r="E52" s="67" t="s">
        <v>362</v>
      </c>
      <c r="F52" s="66" t="s">
        <v>363</v>
      </c>
      <c r="G52" s="67" t="s">
        <v>23</v>
      </c>
      <c r="H52" s="65" t="s">
        <v>81</v>
      </c>
      <c r="I52" s="67" t="s">
        <v>82</v>
      </c>
      <c r="J52" s="67" t="s">
        <v>119</v>
      </c>
      <c r="K52" s="67" t="s">
        <v>120</v>
      </c>
      <c r="L52" s="65" t="s">
        <v>36</v>
      </c>
      <c r="M52" s="68" t="s">
        <v>37</v>
      </c>
      <c r="N52" s="68" t="s">
        <v>90</v>
      </c>
      <c r="O52" s="68" t="s">
        <v>91</v>
      </c>
      <c r="P52" s="69">
        <v>45260.333333333299</v>
      </c>
      <c r="Q52" s="70"/>
      <c r="R52" s="70" t="s">
        <v>73</v>
      </c>
      <c r="S52" s="71">
        <v>45258.648611111101</v>
      </c>
      <c r="T52" s="72"/>
      <c r="U52" s="63">
        <v>45259.416666666701</v>
      </c>
      <c r="V52" s="64">
        <v>279</v>
      </c>
    </row>
    <row r="53" spans="1:22" ht="11.25" x14ac:dyDescent="0.2">
      <c r="A53" s="65">
        <v>305155</v>
      </c>
      <c r="B53" s="65" t="s">
        <v>1405</v>
      </c>
      <c r="C53" s="66" t="s">
        <v>1406</v>
      </c>
      <c r="D53" s="66" t="s">
        <v>1407</v>
      </c>
      <c r="E53" s="67" t="s">
        <v>1408</v>
      </c>
      <c r="F53" s="66" t="s">
        <v>1409</v>
      </c>
      <c r="G53" s="67" t="s">
        <v>33</v>
      </c>
      <c r="H53" s="65" t="s">
        <v>467</v>
      </c>
      <c r="I53" s="67" t="s">
        <v>468</v>
      </c>
      <c r="J53" s="67" t="s">
        <v>1410</v>
      </c>
      <c r="K53" s="67" t="s">
        <v>1411</v>
      </c>
      <c r="L53" s="65" t="s">
        <v>36</v>
      </c>
      <c r="M53" s="68" t="s">
        <v>37</v>
      </c>
      <c r="N53" s="68" t="s">
        <v>29</v>
      </c>
      <c r="O53" s="68" t="s">
        <v>30</v>
      </c>
      <c r="P53" s="69">
        <v>45272.333333333299</v>
      </c>
      <c r="Q53" s="70">
        <v>45465.435416666704</v>
      </c>
      <c r="R53" s="70" t="s">
        <v>47</v>
      </c>
      <c r="S53" s="71">
        <v>45260.4868055556</v>
      </c>
      <c r="T53" s="72" t="s">
        <v>1412</v>
      </c>
      <c r="U53" s="63">
        <v>45410.5</v>
      </c>
      <c r="V53" s="64">
        <v>128</v>
      </c>
    </row>
    <row r="54" spans="1:22" ht="11.25" x14ac:dyDescent="0.2">
      <c r="A54" s="65">
        <v>305166</v>
      </c>
      <c r="B54" s="65" t="s">
        <v>370</v>
      </c>
      <c r="C54" s="66" t="s">
        <v>371</v>
      </c>
      <c r="D54" s="66" t="s">
        <v>371</v>
      </c>
      <c r="E54" s="67" t="s">
        <v>133</v>
      </c>
      <c r="F54" s="66" t="s">
        <v>134</v>
      </c>
      <c r="G54" s="67" t="s">
        <v>23</v>
      </c>
      <c r="H54" s="65" t="s">
        <v>22</v>
      </c>
      <c r="I54" s="67" t="s">
        <v>24</v>
      </c>
      <c r="J54" s="67" t="s">
        <v>243</v>
      </c>
      <c r="K54" s="67" t="s">
        <v>244</v>
      </c>
      <c r="L54" s="65" t="s">
        <v>36</v>
      </c>
      <c r="M54" s="68" t="s">
        <v>37</v>
      </c>
      <c r="N54" s="68" t="s">
        <v>29</v>
      </c>
      <c r="O54" s="68" t="s">
        <v>30</v>
      </c>
      <c r="P54" s="69"/>
      <c r="Q54" s="70"/>
      <c r="R54" s="70" t="s">
        <v>31</v>
      </c>
      <c r="S54" s="71">
        <v>45253.2902777778</v>
      </c>
      <c r="T54" s="72" t="s">
        <v>135</v>
      </c>
      <c r="U54" s="63">
        <v>45343.2902777778</v>
      </c>
      <c r="V54" s="64">
        <v>195</v>
      </c>
    </row>
    <row r="55" spans="1:22" ht="11.25" x14ac:dyDescent="0.2">
      <c r="A55" s="65">
        <v>305177</v>
      </c>
      <c r="B55" s="65" t="s">
        <v>374</v>
      </c>
      <c r="C55" s="66" t="s">
        <v>375</v>
      </c>
      <c r="D55" s="66" t="s">
        <v>375</v>
      </c>
      <c r="E55" s="67" t="s">
        <v>376</v>
      </c>
      <c r="F55" s="66" t="s">
        <v>377</v>
      </c>
      <c r="G55" s="67" t="s">
        <v>23</v>
      </c>
      <c r="H55" s="65" t="s">
        <v>22</v>
      </c>
      <c r="I55" s="67" t="s">
        <v>24</v>
      </c>
      <c r="J55" s="67" t="s">
        <v>288</v>
      </c>
      <c r="K55" s="67" t="s">
        <v>289</v>
      </c>
      <c r="L55" s="65" t="s">
        <v>36</v>
      </c>
      <c r="M55" s="68" t="s">
        <v>37</v>
      </c>
      <c r="N55" s="68" t="s">
        <v>29</v>
      </c>
      <c r="O55" s="68" t="s">
        <v>30</v>
      </c>
      <c r="P55" s="69">
        <v>45460.570138888899</v>
      </c>
      <c r="Q55" s="70"/>
      <c r="R55" s="70" t="s">
        <v>31</v>
      </c>
      <c r="S55" s="71">
        <v>45256.791666666701</v>
      </c>
      <c r="T55" s="72" t="s">
        <v>85</v>
      </c>
      <c r="U55" s="63">
        <v>45351.4284722222</v>
      </c>
      <c r="V55" s="64">
        <v>187</v>
      </c>
    </row>
    <row r="56" spans="1:22" ht="11.25" x14ac:dyDescent="0.2">
      <c r="A56" s="65">
        <v>305178</v>
      </c>
      <c r="B56" s="65" t="s">
        <v>378</v>
      </c>
      <c r="C56" s="66" t="s">
        <v>379</v>
      </c>
      <c r="D56" s="66" t="s">
        <v>379</v>
      </c>
      <c r="E56" s="67" t="s">
        <v>376</v>
      </c>
      <c r="F56" s="66" t="s">
        <v>377</v>
      </c>
      <c r="G56" s="67" t="s">
        <v>23</v>
      </c>
      <c r="H56" s="65" t="s">
        <v>22</v>
      </c>
      <c r="I56" s="67" t="s">
        <v>24</v>
      </c>
      <c r="J56" s="67" t="s">
        <v>288</v>
      </c>
      <c r="K56" s="67" t="s">
        <v>289</v>
      </c>
      <c r="L56" s="65" t="s">
        <v>36</v>
      </c>
      <c r="M56" s="68" t="s">
        <v>37</v>
      </c>
      <c r="N56" s="68" t="s">
        <v>29</v>
      </c>
      <c r="O56" s="68" t="s">
        <v>30</v>
      </c>
      <c r="P56" s="69">
        <v>45460.570833333302</v>
      </c>
      <c r="Q56" s="70"/>
      <c r="R56" s="70" t="s">
        <v>31</v>
      </c>
      <c r="S56" s="71">
        <v>45256.796527777798</v>
      </c>
      <c r="T56" s="72" t="s">
        <v>85</v>
      </c>
      <c r="U56" s="63">
        <v>45351.4284722222</v>
      </c>
      <c r="V56" s="64">
        <v>187</v>
      </c>
    </row>
    <row r="57" spans="1:22" ht="11.25" x14ac:dyDescent="0.2">
      <c r="A57" s="65">
        <v>305179</v>
      </c>
      <c r="B57" s="65" t="s">
        <v>380</v>
      </c>
      <c r="C57" s="66" t="s">
        <v>381</v>
      </c>
      <c r="D57" s="66" t="s">
        <v>381</v>
      </c>
      <c r="E57" s="67" t="s">
        <v>92</v>
      </c>
      <c r="F57" s="66" t="s">
        <v>93</v>
      </c>
      <c r="G57" s="67" t="s">
        <v>23</v>
      </c>
      <c r="H57" s="65" t="s">
        <v>53</v>
      </c>
      <c r="I57" s="67" t="s">
        <v>54</v>
      </c>
      <c r="J57" s="67" t="s">
        <v>94</v>
      </c>
      <c r="K57" s="67" t="s">
        <v>95</v>
      </c>
      <c r="L57" s="65" t="s">
        <v>36</v>
      </c>
      <c r="M57" s="68" t="s">
        <v>37</v>
      </c>
      <c r="N57" s="68" t="s">
        <v>83</v>
      </c>
      <c r="O57" s="68" t="s">
        <v>84</v>
      </c>
      <c r="P57" s="69">
        <v>45266.416666666701</v>
      </c>
      <c r="Q57" s="70"/>
      <c r="R57" s="70" t="s">
        <v>31</v>
      </c>
      <c r="S57" s="71">
        <v>45251.268750000003</v>
      </c>
      <c r="T57" s="72" t="s">
        <v>96</v>
      </c>
      <c r="U57" s="63">
        <v>45351.4284722222</v>
      </c>
      <c r="V57" s="64">
        <v>187</v>
      </c>
    </row>
    <row r="58" spans="1:22" ht="11.25" x14ac:dyDescent="0.2">
      <c r="A58" s="65">
        <v>305181</v>
      </c>
      <c r="B58" s="65" t="s">
        <v>382</v>
      </c>
      <c r="C58" s="66" t="s">
        <v>383</v>
      </c>
      <c r="D58" s="66" t="s">
        <v>383</v>
      </c>
      <c r="E58" s="67" t="s">
        <v>241</v>
      </c>
      <c r="F58" s="66" t="s">
        <v>242</v>
      </c>
      <c r="G58" s="67" t="s">
        <v>23</v>
      </c>
      <c r="H58" s="65" t="s">
        <v>22</v>
      </c>
      <c r="I58" s="67" t="s">
        <v>24</v>
      </c>
      <c r="J58" s="67" t="s">
        <v>128</v>
      </c>
      <c r="K58" s="67" t="s">
        <v>129</v>
      </c>
      <c r="L58" s="65" t="s">
        <v>36</v>
      </c>
      <c r="M58" s="68" t="s">
        <v>37</v>
      </c>
      <c r="N58" s="68" t="s">
        <v>29</v>
      </c>
      <c r="O58" s="68" t="s">
        <v>30</v>
      </c>
      <c r="P58" s="69">
        <v>45428.448611111096</v>
      </c>
      <c r="Q58" s="70"/>
      <c r="R58" s="70" t="s">
        <v>31</v>
      </c>
      <c r="S58" s="71">
        <v>45257.694444444402</v>
      </c>
      <c r="T58" s="72" t="s">
        <v>116</v>
      </c>
      <c r="U58" s="63">
        <v>45351.4284722222</v>
      </c>
      <c r="V58" s="64">
        <v>187</v>
      </c>
    </row>
    <row r="59" spans="1:22" ht="11.25" x14ac:dyDescent="0.2">
      <c r="A59" s="65">
        <v>305185</v>
      </c>
      <c r="B59" s="65" t="s">
        <v>384</v>
      </c>
      <c r="C59" s="66" t="s">
        <v>385</v>
      </c>
      <c r="D59" s="66" t="s">
        <v>385</v>
      </c>
      <c r="E59" s="67" t="s">
        <v>203</v>
      </c>
      <c r="F59" s="66" t="s">
        <v>204</v>
      </c>
      <c r="G59" s="67" t="s">
        <v>23</v>
      </c>
      <c r="H59" s="65" t="s">
        <v>179</v>
      </c>
      <c r="I59" s="67" t="s">
        <v>180</v>
      </c>
      <c r="J59" s="67" t="s">
        <v>121</v>
      </c>
      <c r="K59" s="67" t="s">
        <v>122</v>
      </c>
      <c r="L59" s="65" t="s">
        <v>36</v>
      </c>
      <c r="M59" s="68" t="s">
        <v>37</v>
      </c>
      <c r="N59" s="68" t="s">
        <v>83</v>
      </c>
      <c r="O59" s="68" t="s">
        <v>84</v>
      </c>
      <c r="P59" s="69"/>
      <c r="Q59" s="70"/>
      <c r="R59" s="70" t="s">
        <v>31</v>
      </c>
      <c r="S59" s="71">
        <v>45247.391666666699</v>
      </c>
      <c r="T59" s="72" t="s">
        <v>193</v>
      </c>
      <c r="U59" s="63">
        <v>45337.391666666699</v>
      </c>
      <c r="V59" s="64">
        <v>201</v>
      </c>
    </row>
    <row r="60" spans="1:22" ht="11.25" x14ac:dyDescent="0.2">
      <c r="A60" s="65">
        <v>305186</v>
      </c>
      <c r="B60" s="65" t="s">
        <v>386</v>
      </c>
      <c r="C60" s="66" t="s">
        <v>387</v>
      </c>
      <c r="D60" s="66" t="s">
        <v>387</v>
      </c>
      <c r="E60" s="67" t="s">
        <v>388</v>
      </c>
      <c r="F60" s="66" t="s">
        <v>389</v>
      </c>
      <c r="G60" s="67" t="s">
        <v>23</v>
      </c>
      <c r="H60" s="65" t="s">
        <v>22</v>
      </c>
      <c r="I60" s="67" t="s">
        <v>24</v>
      </c>
      <c r="J60" s="67" t="s">
        <v>243</v>
      </c>
      <c r="K60" s="67" t="s">
        <v>244</v>
      </c>
      <c r="L60" s="65" t="s">
        <v>36</v>
      </c>
      <c r="M60" s="68" t="s">
        <v>37</v>
      </c>
      <c r="N60" s="68" t="s">
        <v>29</v>
      </c>
      <c r="O60" s="68" t="s">
        <v>30</v>
      </c>
      <c r="P60" s="69"/>
      <c r="Q60" s="70"/>
      <c r="R60" s="70" t="s">
        <v>31</v>
      </c>
      <c r="S60" s="71">
        <v>45231.668055555601</v>
      </c>
      <c r="T60" s="72" t="s">
        <v>85</v>
      </c>
      <c r="U60" s="63">
        <v>45321.668055555601</v>
      </c>
      <c r="V60" s="64">
        <v>217</v>
      </c>
    </row>
    <row r="61" spans="1:22" ht="11.25" x14ac:dyDescent="0.2">
      <c r="A61" s="65">
        <v>305187</v>
      </c>
      <c r="B61" s="65" t="s">
        <v>390</v>
      </c>
      <c r="C61" s="66" t="s">
        <v>391</v>
      </c>
      <c r="D61" s="66" t="s">
        <v>391</v>
      </c>
      <c r="E61" s="67" t="s">
        <v>341</v>
      </c>
      <c r="F61" s="66" t="s">
        <v>342</v>
      </c>
      <c r="G61" s="67" t="s">
        <v>23</v>
      </c>
      <c r="H61" s="65" t="s">
        <v>22</v>
      </c>
      <c r="I61" s="67" t="s">
        <v>24</v>
      </c>
      <c r="J61" s="67" t="s">
        <v>243</v>
      </c>
      <c r="K61" s="67" t="s">
        <v>244</v>
      </c>
      <c r="L61" s="65" t="s">
        <v>36</v>
      </c>
      <c r="M61" s="68" t="s">
        <v>37</v>
      </c>
      <c r="N61" s="68" t="s">
        <v>29</v>
      </c>
      <c r="O61" s="68" t="s">
        <v>30</v>
      </c>
      <c r="P61" s="69">
        <v>45445.554861111101</v>
      </c>
      <c r="Q61" s="70"/>
      <c r="R61" s="70" t="s">
        <v>31</v>
      </c>
      <c r="S61" s="71">
        <v>45226.651388888902</v>
      </c>
      <c r="T61" s="72" t="s">
        <v>85</v>
      </c>
      <c r="U61" s="63">
        <v>45351.4284722222</v>
      </c>
      <c r="V61" s="64">
        <v>187</v>
      </c>
    </row>
    <row r="62" spans="1:22" ht="11.25" x14ac:dyDescent="0.2">
      <c r="A62" s="65">
        <v>305188</v>
      </c>
      <c r="B62" s="65" t="s">
        <v>392</v>
      </c>
      <c r="C62" s="66" t="s">
        <v>393</v>
      </c>
      <c r="D62" s="66" t="s">
        <v>393</v>
      </c>
      <c r="E62" s="67" t="s">
        <v>341</v>
      </c>
      <c r="F62" s="66" t="s">
        <v>342</v>
      </c>
      <c r="G62" s="67" t="s">
        <v>23</v>
      </c>
      <c r="H62" s="65" t="s">
        <v>53</v>
      </c>
      <c r="I62" s="67" t="s">
        <v>54</v>
      </c>
      <c r="J62" s="67" t="s">
        <v>243</v>
      </c>
      <c r="K62" s="67" t="s">
        <v>244</v>
      </c>
      <c r="L62" s="65" t="s">
        <v>36</v>
      </c>
      <c r="M62" s="68" t="s">
        <v>37</v>
      </c>
      <c r="N62" s="68" t="s">
        <v>51</v>
      </c>
      <c r="O62" s="68" t="s">
        <v>52</v>
      </c>
      <c r="P62" s="69">
        <v>45307.333333333299</v>
      </c>
      <c r="Q62" s="70"/>
      <c r="R62" s="70" t="s">
        <v>47</v>
      </c>
      <c r="S62" s="71">
        <v>45231.675694444399</v>
      </c>
      <c r="T62" s="72" t="s">
        <v>85</v>
      </c>
      <c r="U62" s="63">
        <v>45411.4284722222</v>
      </c>
      <c r="V62" s="64">
        <v>127</v>
      </c>
    </row>
    <row r="63" spans="1:22" ht="11.25" x14ac:dyDescent="0.2">
      <c r="A63" s="65">
        <v>305189</v>
      </c>
      <c r="B63" s="65" t="s">
        <v>394</v>
      </c>
      <c r="C63" s="66" t="s">
        <v>395</v>
      </c>
      <c r="D63" s="66" t="s">
        <v>395</v>
      </c>
      <c r="E63" s="67" t="s">
        <v>396</v>
      </c>
      <c r="F63" s="66" t="s">
        <v>397</v>
      </c>
      <c r="G63" s="67" t="s">
        <v>23</v>
      </c>
      <c r="H63" s="65" t="s">
        <v>22</v>
      </c>
      <c r="I63" s="67" t="s">
        <v>24</v>
      </c>
      <c r="J63" s="67" t="s">
        <v>288</v>
      </c>
      <c r="K63" s="67" t="s">
        <v>289</v>
      </c>
      <c r="L63" s="65" t="s">
        <v>36</v>
      </c>
      <c r="M63" s="68" t="s">
        <v>37</v>
      </c>
      <c r="N63" s="68" t="s">
        <v>29</v>
      </c>
      <c r="O63" s="68" t="s">
        <v>30</v>
      </c>
      <c r="P63" s="69"/>
      <c r="Q63" s="70"/>
      <c r="R63" s="70" t="s">
        <v>31</v>
      </c>
      <c r="S63" s="71">
        <v>45229.354861111096</v>
      </c>
      <c r="T63" s="72" t="s">
        <v>398</v>
      </c>
      <c r="U63" s="63">
        <v>45351.4284722222</v>
      </c>
      <c r="V63" s="64">
        <v>187</v>
      </c>
    </row>
    <row r="64" spans="1:22" ht="11.25" x14ac:dyDescent="0.2">
      <c r="A64" s="65">
        <v>305191</v>
      </c>
      <c r="B64" s="65" t="s">
        <v>399</v>
      </c>
      <c r="C64" s="66" t="s">
        <v>400</v>
      </c>
      <c r="D64" s="66" t="s">
        <v>400</v>
      </c>
      <c r="E64" s="67" t="s">
        <v>223</v>
      </c>
      <c r="F64" s="66" t="s">
        <v>224</v>
      </c>
      <c r="G64" s="67" t="s">
        <v>23</v>
      </c>
      <c r="H64" s="65" t="s">
        <v>22</v>
      </c>
      <c r="I64" s="67" t="s">
        <v>24</v>
      </c>
      <c r="J64" s="67" t="s">
        <v>243</v>
      </c>
      <c r="K64" s="67" t="s">
        <v>244</v>
      </c>
      <c r="L64" s="65" t="s">
        <v>36</v>
      </c>
      <c r="M64" s="68" t="s">
        <v>37</v>
      </c>
      <c r="N64" s="68" t="s">
        <v>29</v>
      </c>
      <c r="O64" s="68" t="s">
        <v>30</v>
      </c>
      <c r="P64" s="69"/>
      <c r="Q64" s="70"/>
      <c r="R64" s="70" t="s">
        <v>31</v>
      </c>
      <c r="S64" s="71">
        <v>45226.337500000001</v>
      </c>
      <c r="T64" s="72" t="s">
        <v>135</v>
      </c>
      <c r="U64" s="63">
        <v>45351.4284722222</v>
      </c>
      <c r="V64" s="64">
        <v>187</v>
      </c>
    </row>
    <row r="65" spans="1:22" ht="11.25" x14ac:dyDescent="0.2">
      <c r="A65" s="65">
        <v>305211</v>
      </c>
      <c r="B65" s="65" t="s">
        <v>401</v>
      </c>
      <c r="C65" s="66" t="s">
        <v>402</v>
      </c>
      <c r="D65" s="66" t="s">
        <v>402</v>
      </c>
      <c r="E65" s="67" t="s">
        <v>164</v>
      </c>
      <c r="F65" s="66" t="s">
        <v>165</v>
      </c>
      <c r="G65" s="67" t="s">
        <v>33</v>
      </c>
      <c r="H65" s="65" t="s">
        <v>179</v>
      </c>
      <c r="I65" s="67" t="s">
        <v>180</v>
      </c>
      <c r="J65" s="67" t="s">
        <v>350</v>
      </c>
      <c r="K65" s="67" t="s">
        <v>351</v>
      </c>
      <c r="L65" s="65" t="s">
        <v>36</v>
      </c>
      <c r="M65" s="68" t="s">
        <v>37</v>
      </c>
      <c r="N65" s="68" t="s">
        <v>83</v>
      </c>
      <c r="O65" s="68" t="s">
        <v>84</v>
      </c>
      <c r="P65" s="69"/>
      <c r="Q65" s="70"/>
      <c r="R65" s="70" t="s">
        <v>31</v>
      </c>
      <c r="S65" s="71">
        <v>45239.604861111096</v>
      </c>
      <c r="T65" s="72" t="s">
        <v>166</v>
      </c>
      <c r="U65" s="63">
        <v>45329.604861111096</v>
      </c>
      <c r="V65" s="64">
        <v>209</v>
      </c>
    </row>
    <row r="66" spans="1:22" ht="11.25" x14ac:dyDescent="0.2">
      <c r="A66" s="65">
        <v>305216</v>
      </c>
      <c r="B66" s="65" t="s">
        <v>1344</v>
      </c>
      <c r="C66" s="66" t="s">
        <v>1345</v>
      </c>
      <c r="D66" s="66" t="s">
        <v>1346</v>
      </c>
      <c r="E66" s="67" t="s">
        <v>136</v>
      </c>
      <c r="F66" s="66" t="s">
        <v>137</v>
      </c>
      <c r="G66" s="67" t="s">
        <v>23</v>
      </c>
      <c r="H66" s="65" t="s">
        <v>467</v>
      </c>
      <c r="I66" s="67" t="s">
        <v>468</v>
      </c>
      <c r="J66" s="67" t="s">
        <v>327</v>
      </c>
      <c r="K66" s="67" t="s">
        <v>328</v>
      </c>
      <c r="L66" s="65" t="s">
        <v>36</v>
      </c>
      <c r="M66" s="68" t="s">
        <v>37</v>
      </c>
      <c r="N66" s="68" t="s">
        <v>29</v>
      </c>
      <c r="O66" s="68" t="s">
        <v>30</v>
      </c>
      <c r="P66" s="69"/>
      <c r="Q66" s="70">
        <v>45465.404861111099</v>
      </c>
      <c r="R66" s="70" t="s">
        <v>31</v>
      </c>
      <c r="S66" s="71">
        <v>45260.630555555603</v>
      </c>
      <c r="T66" s="72"/>
      <c r="U66" s="63">
        <v>45351.512499999997</v>
      </c>
      <c r="V66" s="64">
        <v>187</v>
      </c>
    </row>
    <row r="67" spans="1:22" ht="11.25" x14ac:dyDescent="0.2">
      <c r="A67" s="65">
        <v>305217</v>
      </c>
      <c r="B67" s="65" t="s">
        <v>403</v>
      </c>
      <c r="C67" s="66" t="s">
        <v>404</v>
      </c>
      <c r="D67" s="66" t="s">
        <v>405</v>
      </c>
      <c r="E67" s="67" t="s">
        <v>117</v>
      </c>
      <c r="F67" s="66" t="s">
        <v>118</v>
      </c>
      <c r="G67" s="67" t="s">
        <v>23</v>
      </c>
      <c r="H67" s="65" t="s">
        <v>81</v>
      </c>
      <c r="I67" s="67" t="s">
        <v>82</v>
      </c>
      <c r="J67" s="67" t="s">
        <v>107</v>
      </c>
      <c r="K67" s="67" t="s">
        <v>108</v>
      </c>
      <c r="L67" s="65" t="s">
        <v>36</v>
      </c>
      <c r="M67" s="68" t="s">
        <v>37</v>
      </c>
      <c r="N67" s="68" t="s">
        <v>29</v>
      </c>
      <c r="O67" s="68" t="s">
        <v>30</v>
      </c>
      <c r="P67" s="69">
        <v>45427.644444444399</v>
      </c>
      <c r="Q67" s="70"/>
      <c r="R67" s="70" t="s">
        <v>31</v>
      </c>
      <c r="S67" s="71">
        <v>45261.4465277778</v>
      </c>
      <c r="T67" s="72"/>
      <c r="U67" s="63">
        <v>45351.616666666698</v>
      </c>
      <c r="V67" s="64">
        <v>187</v>
      </c>
    </row>
    <row r="68" spans="1:22" ht="11.25" x14ac:dyDescent="0.2">
      <c r="A68" s="65">
        <v>305251</v>
      </c>
      <c r="B68" s="65" t="s">
        <v>406</v>
      </c>
      <c r="C68" s="66" t="s">
        <v>407</v>
      </c>
      <c r="D68" s="66" t="s">
        <v>1025</v>
      </c>
      <c r="E68" s="67" t="s">
        <v>286</v>
      </c>
      <c r="F68" s="66" t="s">
        <v>287</v>
      </c>
      <c r="G68" s="67" t="s">
        <v>23</v>
      </c>
      <c r="H68" s="65" t="s">
        <v>22</v>
      </c>
      <c r="I68" s="67" t="s">
        <v>24</v>
      </c>
      <c r="J68" s="67" t="s">
        <v>408</v>
      </c>
      <c r="K68" s="67" t="s">
        <v>409</v>
      </c>
      <c r="L68" s="65" t="s">
        <v>36</v>
      </c>
      <c r="M68" s="68" t="s">
        <v>37</v>
      </c>
      <c r="N68" s="68" t="s">
        <v>57</v>
      </c>
      <c r="O68" s="68" t="s">
        <v>58</v>
      </c>
      <c r="P68" s="69">
        <v>45453.354166666701</v>
      </c>
      <c r="Q68" s="70"/>
      <c r="R68" s="70" t="s">
        <v>31</v>
      </c>
      <c r="S68" s="71">
        <v>45271.271527777797</v>
      </c>
      <c r="T68" s="72"/>
      <c r="U68" s="63">
        <v>45361.604861111096</v>
      </c>
      <c r="V68" s="64">
        <v>177</v>
      </c>
    </row>
    <row r="69" spans="1:22" ht="11.25" x14ac:dyDescent="0.2">
      <c r="A69" s="65">
        <v>305269</v>
      </c>
      <c r="B69" s="65" t="s">
        <v>410</v>
      </c>
      <c r="C69" s="66" t="s">
        <v>411</v>
      </c>
      <c r="D69" s="66" t="s">
        <v>411</v>
      </c>
      <c r="E69" s="67" t="s">
        <v>92</v>
      </c>
      <c r="F69" s="66" t="s">
        <v>93</v>
      </c>
      <c r="G69" s="67" t="s">
        <v>23</v>
      </c>
      <c r="H69" s="65" t="s">
        <v>179</v>
      </c>
      <c r="I69" s="67" t="s">
        <v>180</v>
      </c>
      <c r="J69" s="67" t="s">
        <v>94</v>
      </c>
      <c r="K69" s="67" t="s">
        <v>95</v>
      </c>
      <c r="L69" s="65" t="s">
        <v>36</v>
      </c>
      <c r="M69" s="68" t="s">
        <v>37</v>
      </c>
      <c r="N69" s="68" t="s">
        <v>83</v>
      </c>
      <c r="O69" s="68" t="s">
        <v>84</v>
      </c>
      <c r="P69" s="69"/>
      <c r="Q69" s="70"/>
      <c r="R69" s="70" t="s">
        <v>31</v>
      </c>
      <c r="S69" s="71">
        <v>45268.486111111102</v>
      </c>
      <c r="T69" s="72" t="s">
        <v>96</v>
      </c>
      <c r="U69" s="63">
        <v>45358.486111111102</v>
      </c>
      <c r="V69" s="64">
        <v>180</v>
      </c>
    </row>
    <row r="70" spans="1:22" ht="11.25" x14ac:dyDescent="0.2">
      <c r="A70" s="65">
        <v>305289</v>
      </c>
      <c r="B70" s="65" t="s">
        <v>1347</v>
      </c>
      <c r="C70" s="66" t="s">
        <v>1348</v>
      </c>
      <c r="D70" s="66" t="s">
        <v>1349</v>
      </c>
      <c r="E70" s="67" t="s">
        <v>334</v>
      </c>
      <c r="F70" s="66" t="s">
        <v>335</v>
      </c>
      <c r="G70" s="67" t="s">
        <v>33</v>
      </c>
      <c r="H70" s="65" t="s">
        <v>467</v>
      </c>
      <c r="I70" s="67" t="s">
        <v>468</v>
      </c>
      <c r="J70" s="67" t="s">
        <v>265</v>
      </c>
      <c r="K70" s="67" t="s">
        <v>266</v>
      </c>
      <c r="L70" s="65" t="s">
        <v>36</v>
      </c>
      <c r="M70" s="68" t="s">
        <v>37</v>
      </c>
      <c r="N70" s="68" t="s">
        <v>76</v>
      </c>
      <c r="O70" s="68" t="s">
        <v>77</v>
      </c>
      <c r="P70" s="69"/>
      <c r="Q70" s="70">
        <v>45465.405555555597</v>
      </c>
      <c r="R70" s="70" t="s">
        <v>31</v>
      </c>
      <c r="S70" s="71">
        <v>45201.857638888898</v>
      </c>
      <c r="T70" s="72" t="s">
        <v>322</v>
      </c>
      <c r="U70" s="63">
        <v>45366.422222222202</v>
      </c>
      <c r="V70" s="64">
        <v>172</v>
      </c>
    </row>
    <row r="71" spans="1:22" ht="11.25" x14ac:dyDescent="0.2">
      <c r="A71" s="65">
        <v>305292</v>
      </c>
      <c r="B71" s="65" t="s">
        <v>412</v>
      </c>
      <c r="C71" s="66" t="s">
        <v>417</v>
      </c>
      <c r="D71" s="66" t="s">
        <v>418</v>
      </c>
      <c r="E71" s="67" t="s">
        <v>286</v>
      </c>
      <c r="F71" s="66" t="s">
        <v>287</v>
      </c>
      <c r="G71" s="67" t="s">
        <v>23</v>
      </c>
      <c r="H71" s="65" t="s">
        <v>34</v>
      </c>
      <c r="I71" s="67" t="s">
        <v>35</v>
      </c>
      <c r="J71" s="67" t="s">
        <v>413</v>
      </c>
      <c r="K71" s="67" t="s">
        <v>414</v>
      </c>
      <c r="L71" s="65" t="s">
        <v>36</v>
      </c>
      <c r="M71" s="68" t="s">
        <v>37</v>
      </c>
      <c r="N71" s="68" t="s">
        <v>29</v>
      </c>
      <c r="O71" s="68" t="s">
        <v>30</v>
      </c>
      <c r="P71" s="69">
        <v>45279.333333333299</v>
      </c>
      <c r="Q71" s="70"/>
      <c r="R71" s="70" t="s">
        <v>40</v>
      </c>
      <c r="S71" s="71">
        <v>45275.631944444402</v>
      </c>
      <c r="T71" s="72"/>
      <c r="U71" s="63">
        <v>45278.590277777803</v>
      </c>
      <c r="V71" s="64">
        <v>260</v>
      </c>
    </row>
    <row r="72" spans="1:22" ht="11.25" x14ac:dyDescent="0.2">
      <c r="A72" s="65">
        <v>305351</v>
      </c>
      <c r="B72" s="65" t="s">
        <v>421</v>
      </c>
      <c r="C72" s="66" t="s">
        <v>422</v>
      </c>
      <c r="D72" s="66" t="s">
        <v>422</v>
      </c>
      <c r="E72" s="67" t="s">
        <v>297</v>
      </c>
      <c r="F72" s="66" t="s">
        <v>298</v>
      </c>
      <c r="G72" s="67" t="s">
        <v>23</v>
      </c>
      <c r="H72" s="65" t="s">
        <v>179</v>
      </c>
      <c r="I72" s="67" t="s">
        <v>180</v>
      </c>
      <c r="J72" s="67" t="s">
        <v>408</v>
      </c>
      <c r="K72" s="67" t="s">
        <v>409</v>
      </c>
      <c r="L72" s="65" t="s">
        <v>36</v>
      </c>
      <c r="M72" s="68" t="s">
        <v>37</v>
      </c>
      <c r="N72" s="68" t="s">
        <v>29</v>
      </c>
      <c r="O72" s="68" t="s">
        <v>30</v>
      </c>
      <c r="P72" s="69"/>
      <c r="Q72" s="70"/>
      <c r="R72" s="70" t="s">
        <v>31</v>
      </c>
      <c r="S72" s="71">
        <v>45300.395833333299</v>
      </c>
      <c r="T72" s="72" t="s">
        <v>85</v>
      </c>
      <c r="U72" s="63">
        <v>45390.395833333299</v>
      </c>
      <c r="V72" s="64">
        <v>148</v>
      </c>
    </row>
    <row r="73" spans="1:22" ht="11.25" x14ac:dyDescent="0.2">
      <c r="A73" s="65">
        <v>305352</v>
      </c>
      <c r="B73" s="65" t="s">
        <v>423</v>
      </c>
      <c r="C73" s="66" t="s">
        <v>424</v>
      </c>
      <c r="D73" s="66" t="s">
        <v>424</v>
      </c>
      <c r="E73" s="67" t="s">
        <v>396</v>
      </c>
      <c r="F73" s="66" t="s">
        <v>397</v>
      </c>
      <c r="G73" s="67" t="s">
        <v>23</v>
      </c>
      <c r="H73" s="65" t="s">
        <v>22</v>
      </c>
      <c r="I73" s="67" t="s">
        <v>24</v>
      </c>
      <c r="J73" s="67" t="s">
        <v>66</v>
      </c>
      <c r="K73" s="67" t="s">
        <v>67</v>
      </c>
      <c r="L73" s="65" t="s">
        <v>36</v>
      </c>
      <c r="M73" s="68" t="s">
        <v>37</v>
      </c>
      <c r="N73" s="68" t="s">
        <v>29</v>
      </c>
      <c r="O73" s="68" t="s">
        <v>30</v>
      </c>
      <c r="P73" s="69">
        <v>45463.4194444444</v>
      </c>
      <c r="Q73" s="70"/>
      <c r="R73" s="70" t="s">
        <v>31</v>
      </c>
      <c r="S73" s="71">
        <v>45300.517361111102</v>
      </c>
      <c r="T73" s="72" t="s">
        <v>398</v>
      </c>
      <c r="U73" s="63">
        <v>45391.609027777798</v>
      </c>
      <c r="V73" s="64">
        <v>147</v>
      </c>
    </row>
    <row r="74" spans="1:22" ht="11.25" x14ac:dyDescent="0.2">
      <c r="A74" s="65">
        <v>305355</v>
      </c>
      <c r="B74" s="65" t="s">
        <v>425</v>
      </c>
      <c r="C74" s="66" t="s">
        <v>426</v>
      </c>
      <c r="D74" s="66" t="s">
        <v>426</v>
      </c>
      <c r="E74" s="67" t="s">
        <v>159</v>
      </c>
      <c r="F74" s="66" t="s">
        <v>160</v>
      </c>
      <c r="G74" s="67" t="s">
        <v>23</v>
      </c>
      <c r="H74" s="65" t="s">
        <v>22</v>
      </c>
      <c r="I74" s="67" t="s">
        <v>24</v>
      </c>
      <c r="J74" s="67" t="s">
        <v>121</v>
      </c>
      <c r="K74" s="67" t="s">
        <v>122</v>
      </c>
      <c r="L74" s="65" t="s">
        <v>36</v>
      </c>
      <c r="M74" s="68" t="s">
        <v>37</v>
      </c>
      <c r="N74" s="68" t="s">
        <v>29</v>
      </c>
      <c r="O74" s="68" t="s">
        <v>30</v>
      </c>
      <c r="P74" s="69">
        <v>45414.59375</v>
      </c>
      <c r="Q74" s="70"/>
      <c r="R74" s="70" t="s">
        <v>31</v>
      </c>
      <c r="S74" s="71">
        <v>45301.3527777778</v>
      </c>
      <c r="T74" s="72" t="s">
        <v>161</v>
      </c>
      <c r="U74" s="63">
        <v>45391.609722222202</v>
      </c>
      <c r="V74" s="64">
        <v>147</v>
      </c>
    </row>
    <row r="75" spans="1:22" ht="11.25" x14ac:dyDescent="0.2">
      <c r="A75" s="65">
        <v>305357</v>
      </c>
      <c r="B75" s="65" t="s">
        <v>427</v>
      </c>
      <c r="C75" s="66" t="s">
        <v>428</v>
      </c>
      <c r="D75" s="66" t="s">
        <v>428</v>
      </c>
      <c r="E75" s="67" t="s">
        <v>297</v>
      </c>
      <c r="F75" s="66" t="s">
        <v>298</v>
      </c>
      <c r="G75" s="67" t="s">
        <v>23</v>
      </c>
      <c r="H75" s="65" t="s">
        <v>179</v>
      </c>
      <c r="I75" s="67" t="s">
        <v>180</v>
      </c>
      <c r="J75" s="67" t="s">
        <v>408</v>
      </c>
      <c r="K75" s="67" t="s">
        <v>409</v>
      </c>
      <c r="L75" s="65" t="s">
        <v>36</v>
      </c>
      <c r="M75" s="68" t="s">
        <v>37</v>
      </c>
      <c r="N75" s="68" t="s">
        <v>29</v>
      </c>
      <c r="O75" s="68" t="s">
        <v>30</v>
      </c>
      <c r="P75" s="69"/>
      <c r="Q75" s="70"/>
      <c r="R75" s="70" t="s">
        <v>31</v>
      </c>
      <c r="S75" s="71">
        <v>45300.388888888898</v>
      </c>
      <c r="T75" s="72" t="s">
        <v>85</v>
      </c>
      <c r="U75" s="63">
        <v>45390.388888888898</v>
      </c>
      <c r="V75" s="64">
        <v>148</v>
      </c>
    </row>
    <row r="76" spans="1:22" ht="11.25" x14ac:dyDescent="0.2">
      <c r="A76" s="65">
        <v>305358</v>
      </c>
      <c r="B76" s="65" t="s">
        <v>429</v>
      </c>
      <c r="C76" s="66" t="s">
        <v>430</v>
      </c>
      <c r="D76" s="66" t="s">
        <v>430</v>
      </c>
      <c r="E76" s="67" t="s">
        <v>159</v>
      </c>
      <c r="F76" s="66" t="s">
        <v>160</v>
      </c>
      <c r="G76" s="67" t="s">
        <v>23</v>
      </c>
      <c r="H76" s="65" t="s">
        <v>34</v>
      </c>
      <c r="I76" s="67" t="s">
        <v>35</v>
      </c>
      <c r="J76" s="67" t="s">
        <v>121</v>
      </c>
      <c r="K76" s="67" t="s">
        <v>122</v>
      </c>
      <c r="L76" s="65" t="s">
        <v>36</v>
      </c>
      <c r="M76" s="68" t="s">
        <v>37</v>
      </c>
      <c r="N76" s="68" t="s">
        <v>29</v>
      </c>
      <c r="O76" s="68" t="s">
        <v>30</v>
      </c>
      <c r="P76" s="69">
        <v>45414.6</v>
      </c>
      <c r="Q76" s="70"/>
      <c r="R76" s="70" t="s">
        <v>31</v>
      </c>
      <c r="S76" s="71">
        <v>45301.354166666701</v>
      </c>
      <c r="T76" s="72" t="s">
        <v>161</v>
      </c>
      <c r="U76" s="63">
        <v>45391.609722222202</v>
      </c>
      <c r="V76" s="64">
        <v>147</v>
      </c>
    </row>
    <row r="77" spans="1:22" ht="11.25" x14ac:dyDescent="0.2">
      <c r="A77" s="65">
        <v>305363</v>
      </c>
      <c r="B77" s="65" t="s">
        <v>433</v>
      </c>
      <c r="C77" s="66" t="s">
        <v>434</v>
      </c>
      <c r="D77" s="66" t="s">
        <v>434</v>
      </c>
      <c r="E77" s="67" t="s">
        <v>286</v>
      </c>
      <c r="F77" s="66" t="s">
        <v>287</v>
      </c>
      <c r="G77" s="67" t="s">
        <v>23</v>
      </c>
      <c r="H77" s="65" t="s">
        <v>22</v>
      </c>
      <c r="I77" s="67" t="s">
        <v>24</v>
      </c>
      <c r="J77" s="67" t="s">
        <v>431</v>
      </c>
      <c r="K77" s="67" t="s">
        <v>432</v>
      </c>
      <c r="L77" s="65" t="s">
        <v>36</v>
      </c>
      <c r="M77" s="68" t="s">
        <v>37</v>
      </c>
      <c r="N77" s="68" t="s">
        <v>29</v>
      </c>
      <c r="O77" s="68" t="s">
        <v>30</v>
      </c>
      <c r="P77" s="69">
        <v>45467.630555555603</v>
      </c>
      <c r="Q77" s="70"/>
      <c r="R77" s="70" t="s">
        <v>31</v>
      </c>
      <c r="S77" s="71">
        <v>45300.543749999997</v>
      </c>
      <c r="T77" s="72" t="s">
        <v>85</v>
      </c>
      <c r="U77" s="63">
        <v>45391.609722222202</v>
      </c>
      <c r="V77" s="64">
        <v>147</v>
      </c>
    </row>
    <row r="78" spans="1:22" ht="11.25" x14ac:dyDescent="0.2">
      <c r="A78" s="65">
        <v>305364</v>
      </c>
      <c r="B78" s="65" t="s">
        <v>435</v>
      </c>
      <c r="C78" s="66" t="s">
        <v>436</v>
      </c>
      <c r="D78" s="66" t="s">
        <v>436</v>
      </c>
      <c r="E78" s="67" t="s">
        <v>159</v>
      </c>
      <c r="F78" s="66" t="s">
        <v>160</v>
      </c>
      <c r="G78" s="67" t="s">
        <v>23</v>
      </c>
      <c r="H78" s="65" t="s">
        <v>34</v>
      </c>
      <c r="I78" s="67" t="s">
        <v>35</v>
      </c>
      <c r="J78" s="67" t="s">
        <v>121</v>
      </c>
      <c r="K78" s="67" t="s">
        <v>122</v>
      </c>
      <c r="L78" s="65" t="s">
        <v>36</v>
      </c>
      <c r="M78" s="68" t="s">
        <v>37</v>
      </c>
      <c r="N78" s="68" t="s">
        <v>29</v>
      </c>
      <c r="O78" s="68" t="s">
        <v>30</v>
      </c>
      <c r="P78" s="69">
        <v>45456.485416666699</v>
      </c>
      <c r="Q78" s="70"/>
      <c r="R78" s="70" t="s">
        <v>31</v>
      </c>
      <c r="S78" s="71">
        <v>45301.353472222203</v>
      </c>
      <c r="T78" s="72" t="s">
        <v>161</v>
      </c>
      <c r="U78" s="63">
        <v>45391.353472222203</v>
      </c>
      <c r="V78" s="64">
        <v>147</v>
      </c>
    </row>
    <row r="79" spans="1:22" ht="11.25" x14ac:dyDescent="0.2">
      <c r="A79" s="65">
        <v>305367</v>
      </c>
      <c r="B79" s="65" t="s">
        <v>437</v>
      </c>
      <c r="C79" s="66" t="s">
        <v>438</v>
      </c>
      <c r="D79" s="66" t="s">
        <v>438</v>
      </c>
      <c r="E79" s="67" t="s">
        <v>286</v>
      </c>
      <c r="F79" s="66" t="s">
        <v>287</v>
      </c>
      <c r="G79" s="67" t="s">
        <v>23</v>
      </c>
      <c r="H79" s="65" t="s">
        <v>22</v>
      </c>
      <c r="I79" s="67" t="s">
        <v>24</v>
      </c>
      <c r="J79" s="67" t="s">
        <v>431</v>
      </c>
      <c r="K79" s="67" t="s">
        <v>432</v>
      </c>
      <c r="L79" s="65" t="s">
        <v>36</v>
      </c>
      <c r="M79" s="68" t="s">
        <v>37</v>
      </c>
      <c r="N79" s="68" t="s">
        <v>29</v>
      </c>
      <c r="O79" s="68" t="s">
        <v>30</v>
      </c>
      <c r="P79" s="69">
        <v>45467.629861111098</v>
      </c>
      <c r="Q79" s="70"/>
      <c r="R79" s="70" t="s">
        <v>31</v>
      </c>
      <c r="S79" s="71">
        <v>45300.554166666698</v>
      </c>
      <c r="T79" s="72" t="s">
        <v>85</v>
      </c>
      <c r="U79" s="63">
        <v>45391.609722222202</v>
      </c>
      <c r="V79" s="64">
        <v>147</v>
      </c>
    </row>
    <row r="80" spans="1:22" ht="11.25" x14ac:dyDescent="0.2">
      <c r="A80" s="65">
        <v>305369</v>
      </c>
      <c r="B80" s="65" t="s">
        <v>441</v>
      </c>
      <c r="C80" s="66" t="s">
        <v>442</v>
      </c>
      <c r="D80" s="66" t="s">
        <v>442</v>
      </c>
      <c r="E80" s="67" t="s">
        <v>97</v>
      </c>
      <c r="F80" s="66" t="s">
        <v>98</v>
      </c>
      <c r="G80" s="67" t="s">
        <v>23</v>
      </c>
      <c r="H80" s="65" t="s">
        <v>22</v>
      </c>
      <c r="I80" s="67" t="s">
        <v>24</v>
      </c>
      <c r="J80" s="67" t="s">
        <v>431</v>
      </c>
      <c r="K80" s="67" t="s">
        <v>432</v>
      </c>
      <c r="L80" s="65" t="s">
        <v>36</v>
      </c>
      <c r="M80" s="68" t="s">
        <v>37</v>
      </c>
      <c r="N80" s="68" t="s">
        <v>29</v>
      </c>
      <c r="O80" s="68" t="s">
        <v>30</v>
      </c>
      <c r="P80" s="69"/>
      <c r="Q80" s="70"/>
      <c r="R80" s="70" t="s">
        <v>31</v>
      </c>
      <c r="S80" s="71">
        <v>45300.5625</v>
      </c>
      <c r="T80" s="72" t="s">
        <v>85</v>
      </c>
      <c r="U80" s="63">
        <v>45390.5625</v>
      </c>
      <c r="V80" s="64">
        <v>148</v>
      </c>
    </row>
    <row r="81" spans="1:22" ht="11.25" x14ac:dyDescent="0.2">
      <c r="A81" s="65">
        <v>305376</v>
      </c>
      <c r="B81" s="65" t="s">
        <v>443</v>
      </c>
      <c r="C81" s="66" t="s">
        <v>444</v>
      </c>
      <c r="D81" s="66" t="s">
        <v>444</v>
      </c>
      <c r="E81" s="67" t="s">
        <v>207</v>
      </c>
      <c r="F81" s="66" t="s">
        <v>208</v>
      </c>
      <c r="G81" s="67" t="s">
        <v>23</v>
      </c>
      <c r="H81" s="65" t="s">
        <v>22</v>
      </c>
      <c r="I81" s="67" t="s">
        <v>24</v>
      </c>
      <c r="J81" s="67" t="s">
        <v>121</v>
      </c>
      <c r="K81" s="67" t="s">
        <v>122</v>
      </c>
      <c r="L81" s="65" t="s">
        <v>36</v>
      </c>
      <c r="M81" s="68" t="s">
        <v>37</v>
      </c>
      <c r="N81" s="68" t="s">
        <v>29</v>
      </c>
      <c r="O81" s="68" t="s">
        <v>30</v>
      </c>
      <c r="P81" s="69">
        <v>45457.486111111102</v>
      </c>
      <c r="Q81" s="70"/>
      <c r="R81" s="70" t="s">
        <v>31</v>
      </c>
      <c r="S81" s="71">
        <v>45295.2631944444</v>
      </c>
      <c r="T81" s="72" t="s">
        <v>193</v>
      </c>
      <c r="U81" s="63">
        <v>45391.609722222202</v>
      </c>
      <c r="V81" s="64">
        <v>147</v>
      </c>
    </row>
    <row r="82" spans="1:22" ht="11.25" x14ac:dyDescent="0.2">
      <c r="A82" s="65">
        <v>305378</v>
      </c>
      <c r="B82" s="65" t="s">
        <v>447</v>
      </c>
      <c r="C82" s="66" t="s">
        <v>448</v>
      </c>
      <c r="D82" s="66" t="s">
        <v>448</v>
      </c>
      <c r="E82" s="67" t="s">
        <v>449</v>
      </c>
      <c r="F82" s="66" t="s">
        <v>450</v>
      </c>
      <c r="G82" s="67" t="s">
        <v>23</v>
      </c>
      <c r="H82" s="65" t="s">
        <v>34</v>
      </c>
      <c r="I82" s="67" t="s">
        <v>35</v>
      </c>
      <c r="J82" s="67" t="s">
        <v>66</v>
      </c>
      <c r="K82" s="67" t="s">
        <v>67</v>
      </c>
      <c r="L82" s="65" t="s">
        <v>36</v>
      </c>
      <c r="M82" s="68" t="s">
        <v>37</v>
      </c>
      <c r="N82" s="68" t="s">
        <v>29</v>
      </c>
      <c r="O82" s="68" t="s">
        <v>30</v>
      </c>
      <c r="P82" s="69">
        <v>45460.333333333299</v>
      </c>
      <c r="Q82" s="70"/>
      <c r="R82" s="70" t="s">
        <v>31</v>
      </c>
      <c r="S82" s="71">
        <v>45293.460416666698</v>
      </c>
      <c r="T82" s="72" t="s">
        <v>32</v>
      </c>
      <c r="U82" s="63">
        <v>45391.609722222202</v>
      </c>
      <c r="V82" s="64">
        <v>147</v>
      </c>
    </row>
    <row r="83" spans="1:22" ht="11.25" x14ac:dyDescent="0.2">
      <c r="A83" s="65">
        <v>305385</v>
      </c>
      <c r="B83" s="65" t="s">
        <v>451</v>
      </c>
      <c r="C83" s="66" t="s">
        <v>452</v>
      </c>
      <c r="D83" s="66" t="s">
        <v>452</v>
      </c>
      <c r="E83" s="67" t="s">
        <v>453</v>
      </c>
      <c r="F83" s="66" t="s">
        <v>454</v>
      </c>
      <c r="G83" s="67" t="s">
        <v>23</v>
      </c>
      <c r="H83" s="65" t="s">
        <v>34</v>
      </c>
      <c r="I83" s="67" t="s">
        <v>35</v>
      </c>
      <c r="J83" s="67" t="s">
        <v>327</v>
      </c>
      <c r="K83" s="67" t="s">
        <v>328</v>
      </c>
      <c r="L83" s="65" t="s">
        <v>36</v>
      </c>
      <c r="M83" s="68" t="s">
        <v>37</v>
      </c>
      <c r="N83" s="68" t="s">
        <v>29</v>
      </c>
      <c r="O83" s="68" t="s">
        <v>30</v>
      </c>
      <c r="P83" s="69">
        <v>45422.396527777797</v>
      </c>
      <c r="Q83" s="70"/>
      <c r="R83" s="70" t="s">
        <v>31</v>
      </c>
      <c r="S83" s="71">
        <v>45282.377083333296</v>
      </c>
      <c r="T83" s="72" t="s">
        <v>32</v>
      </c>
      <c r="U83" s="63">
        <v>45391.609722222202</v>
      </c>
      <c r="V83" s="64">
        <v>147</v>
      </c>
    </row>
    <row r="84" spans="1:22" ht="11.25" x14ac:dyDescent="0.2">
      <c r="A84" s="65">
        <v>305389</v>
      </c>
      <c r="B84" s="65" t="s">
        <v>455</v>
      </c>
      <c r="C84" s="66" t="s">
        <v>456</v>
      </c>
      <c r="D84" s="66" t="s">
        <v>456</v>
      </c>
      <c r="E84" s="67" t="s">
        <v>183</v>
      </c>
      <c r="F84" s="66" t="s">
        <v>184</v>
      </c>
      <c r="G84" s="67" t="s">
        <v>23</v>
      </c>
      <c r="H84" s="65" t="s">
        <v>179</v>
      </c>
      <c r="I84" s="67" t="s">
        <v>180</v>
      </c>
      <c r="J84" s="67" t="s">
        <v>66</v>
      </c>
      <c r="K84" s="67" t="s">
        <v>67</v>
      </c>
      <c r="L84" s="65" t="s">
        <v>36</v>
      </c>
      <c r="M84" s="68" t="s">
        <v>37</v>
      </c>
      <c r="N84" s="68" t="s">
        <v>201</v>
      </c>
      <c r="O84" s="68" t="s">
        <v>202</v>
      </c>
      <c r="P84" s="69"/>
      <c r="Q84" s="70"/>
      <c r="R84" s="70" t="s">
        <v>31</v>
      </c>
      <c r="S84" s="71">
        <v>45293.574305555601</v>
      </c>
      <c r="T84" s="72" t="s">
        <v>161</v>
      </c>
      <c r="U84" s="63">
        <v>45383.574305555601</v>
      </c>
      <c r="V84" s="64">
        <v>155</v>
      </c>
    </row>
    <row r="85" spans="1:22" ht="11.25" x14ac:dyDescent="0.2">
      <c r="A85" s="65">
        <v>305390</v>
      </c>
      <c r="B85" s="65" t="s">
        <v>457</v>
      </c>
      <c r="C85" s="66" t="s">
        <v>458</v>
      </c>
      <c r="D85" s="66" t="s">
        <v>458</v>
      </c>
      <c r="E85" s="67" t="s">
        <v>130</v>
      </c>
      <c r="F85" s="66" t="s">
        <v>131</v>
      </c>
      <c r="G85" s="67" t="s">
        <v>23</v>
      </c>
      <c r="H85" s="65" t="s">
        <v>81</v>
      </c>
      <c r="I85" s="67" t="s">
        <v>82</v>
      </c>
      <c r="J85" s="67" t="s">
        <v>114</v>
      </c>
      <c r="K85" s="67" t="s">
        <v>115</v>
      </c>
      <c r="L85" s="65" t="s">
        <v>36</v>
      </c>
      <c r="M85" s="68" t="s">
        <v>37</v>
      </c>
      <c r="N85" s="68" t="s">
        <v>29</v>
      </c>
      <c r="O85" s="68" t="s">
        <v>30</v>
      </c>
      <c r="P85" s="69">
        <v>45427.624305555597</v>
      </c>
      <c r="Q85" s="70"/>
      <c r="R85" s="70" t="s">
        <v>31</v>
      </c>
      <c r="S85" s="71">
        <v>45272.5180555556</v>
      </c>
      <c r="T85" s="72" t="s">
        <v>116</v>
      </c>
      <c r="U85" s="63">
        <v>45391.609722222202</v>
      </c>
      <c r="V85" s="64">
        <v>147</v>
      </c>
    </row>
    <row r="86" spans="1:22" ht="11.25" x14ac:dyDescent="0.2">
      <c r="A86" s="65">
        <v>305395</v>
      </c>
      <c r="B86" s="65" t="s">
        <v>459</v>
      </c>
      <c r="C86" s="66" t="s">
        <v>460</v>
      </c>
      <c r="D86" s="66" t="s">
        <v>461</v>
      </c>
      <c r="E86" s="67" t="s">
        <v>462</v>
      </c>
      <c r="F86" s="66" t="s">
        <v>463</v>
      </c>
      <c r="G86" s="67" t="s">
        <v>33</v>
      </c>
      <c r="H86" s="65" t="s">
        <v>49</v>
      </c>
      <c r="I86" s="67" t="s">
        <v>50</v>
      </c>
      <c r="J86" s="67" t="s">
        <v>66</v>
      </c>
      <c r="K86" s="67" t="s">
        <v>67</v>
      </c>
      <c r="L86" s="65" t="s">
        <v>36</v>
      </c>
      <c r="M86" s="68" t="s">
        <v>37</v>
      </c>
      <c r="N86" s="68" t="s">
        <v>90</v>
      </c>
      <c r="O86" s="68" t="s">
        <v>91</v>
      </c>
      <c r="P86" s="69">
        <v>45304.333333333299</v>
      </c>
      <c r="Q86" s="70"/>
      <c r="R86" s="70" t="s">
        <v>31</v>
      </c>
      <c r="S86" s="71">
        <v>45302.263888888898</v>
      </c>
      <c r="T86" s="72"/>
      <c r="U86" s="63">
        <v>45392.375</v>
      </c>
      <c r="V86" s="64">
        <v>146</v>
      </c>
    </row>
    <row r="87" spans="1:22" ht="11.25" x14ac:dyDescent="0.2">
      <c r="A87" s="65">
        <v>305408</v>
      </c>
      <c r="B87" s="65" t="s">
        <v>471</v>
      </c>
      <c r="C87" s="66" t="s">
        <v>472</v>
      </c>
      <c r="D87" s="66" t="s">
        <v>472</v>
      </c>
      <c r="E87" s="67" t="s">
        <v>473</v>
      </c>
      <c r="F87" s="66" t="s">
        <v>474</v>
      </c>
      <c r="G87" s="67" t="s">
        <v>33</v>
      </c>
      <c r="H87" s="65" t="s">
        <v>53</v>
      </c>
      <c r="I87" s="67" t="s">
        <v>54</v>
      </c>
      <c r="J87" s="67" t="s">
        <v>475</v>
      </c>
      <c r="K87" s="67" t="s">
        <v>476</v>
      </c>
      <c r="L87" s="65" t="s">
        <v>36</v>
      </c>
      <c r="M87" s="68" t="s">
        <v>37</v>
      </c>
      <c r="N87" s="68" t="s">
        <v>57</v>
      </c>
      <c r="O87" s="68" t="s">
        <v>58</v>
      </c>
      <c r="P87" s="69">
        <v>45307.333333333299</v>
      </c>
      <c r="Q87" s="70"/>
      <c r="R87" s="70" t="s">
        <v>31</v>
      </c>
      <c r="S87" s="71">
        <v>45306.340972222199</v>
      </c>
      <c r="T87" s="72" t="s">
        <v>68</v>
      </c>
      <c r="U87" s="63">
        <v>45396.601388888899</v>
      </c>
      <c r="V87" s="64">
        <v>142</v>
      </c>
    </row>
    <row r="88" spans="1:22" ht="11.25" x14ac:dyDescent="0.2">
      <c r="A88" s="65">
        <v>305432</v>
      </c>
      <c r="B88" s="65" t="s">
        <v>484</v>
      </c>
      <c r="C88" s="66" t="s">
        <v>485</v>
      </c>
      <c r="D88" s="66" t="s">
        <v>485</v>
      </c>
      <c r="E88" s="67" t="s">
        <v>141</v>
      </c>
      <c r="F88" s="66" t="s">
        <v>142</v>
      </c>
      <c r="G88" s="67" t="s">
        <v>23</v>
      </c>
      <c r="H88" s="65" t="s">
        <v>34</v>
      </c>
      <c r="I88" s="67" t="s">
        <v>35</v>
      </c>
      <c r="J88" s="67" t="s">
        <v>486</v>
      </c>
      <c r="K88" s="67" t="s">
        <v>487</v>
      </c>
      <c r="L88" s="65" t="s">
        <v>36</v>
      </c>
      <c r="M88" s="68" t="s">
        <v>37</v>
      </c>
      <c r="N88" s="68" t="s">
        <v>29</v>
      </c>
      <c r="O88" s="68" t="s">
        <v>30</v>
      </c>
      <c r="P88" s="69">
        <v>45538.673611111102</v>
      </c>
      <c r="Q88" s="70"/>
      <c r="R88" s="70" t="s">
        <v>31</v>
      </c>
      <c r="S88" s="71">
        <v>45303.632638888899</v>
      </c>
      <c r="T88" s="72" t="s">
        <v>85</v>
      </c>
      <c r="U88" s="63">
        <v>45397.4777777778</v>
      </c>
      <c r="V88" s="64">
        <v>141</v>
      </c>
    </row>
    <row r="89" spans="1:22" ht="11.25" x14ac:dyDescent="0.2">
      <c r="A89" s="65">
        <v>305435</v>
      </c>
      <c r="B89" s="65" t="s">
        <v>488</v>
      </c>
      <c r="C89" s="66" t="s">
        <v>489</v>
      </c>
      <c r="D89" s="66" t="s">
        <v>489</v>
      </c>
      <c r="E89" s="67" t="s">
        <v>141</v>
      </c>
      <c r="F89" s="66" t="s">
        <v>142</v>
      </c>
      <c r="G89" s="67" t="s">
        <v>23</v>
      </c>
      <c r="H89" s="65" t="s">
        <v>34</v>
      </c>
      <c r="I89" s="67" t="s">
        <v>35</v>
      </c>
      <c r="J89" s="67" t="s">
        <v>486</v>
      </c>
      <c r="K89" s="67" t="s">
        <v>487</v>
      </c>
      <c r="L89" s="65" t="s">
        <v>36</v>
      </c>
      <c r="M89" s="68" t="s">
        <v>37</v>
      </c>
      <c r="N89" s="68" t="s">
        <v>29</v>
      </c>
      <c r="O89" s="68" t="s">
        <v>30</v>
      </c>
      <c r="P89" s="69">
        <v>45538.673611111102</v>
      </c>
      <c r="Q89" s="70"/>
      <c r="R89" s="70" t="s">
        <v>31</v>
      </c>
      <c r="S89" s="71">
        <v>45303.640277777798</v>
      </c>
      <c r="T89" s="72" t="s">
        <v>85</v>
      </c>
      <c r="U89" s="63">
        <v>45397.4777777778</v>
      </c>
      <c r="V89" s="64">
        <v>141</v>
      </c>
    </row>
    <row r="90" spans="1:22" ht="11.25" x14ac:dyDescent="0.2">
      <c r="A90" s="65">
        <v>305446</v>
      </c>
      <c r="B90" s="65" t="s">
        <v>490</v>
      </c>
      <c r="C90" s="66" t="s">
        <v>491</v>
      </c>
      <c r="D90" s="66" t="s">
        <v>492</v>
      </c>
      <c r="E90" s="67" t="s">
        <v>493</v>
      </c>
      <c r="F90" s="66" t="s">
        <v>494</v>
      </c>
      <c r="G90" s="67" t="s">
        <v>33</v>
      </c>
      <c r="H90" s="65" t="s">
        <v>34</v>
      </c>
      <c r="I90" s="67" t="s">
        <v>35</v>
      </c>
      <c r="J90" s="67" t="s">
        <v>66</v>
      </c>
      <c r="K90" s="67" t="s">
        <v>67</v>
      </c>
      <c r="L90" s="65" t="s">
        <v>36</v>
      </c>
      <c r="M90" s="68" t="s">
        <v>37</v>
      </c>
      <c r="N90" s="68" t="s">
        <v>83</v>
      </c>
      <c r="O90" s="68" t="s">
        <v>84</v>
      </c>
      <c r="P90" s="69">
        <v>45308.333333333299</v>
      </c>
      <c r="Q90" s="70"/>
      <c r="R90" s="70" t="s">
        <v>40</v>
      </c>
      <c r="S90" s="71">
        <v>45307.616666666698</v>
      </c>
      <c r="T90" s="72"/>
      <c r="U90" s="63">
        <v>45307.704166666699</v>
      </c>
      <c r="V90" s="64">
        <v>231</v>
      </c>
    </row>
    <row r="91" spans="1:22" ht="11.25" x14ac:dyDescent="0.2">
      <c r="A91" s="65">
        <v>305452</v>
      </c>
      <c r="B91" s="65" t="s">
        <v>495</v>
      </c>
      <c r="C91" s="66" t="s">
        <v>496</v>
      </c>
      <c r="D91" s="66" t="s">
        <v>497</v>
      </c>
      <c r="E91" s="67" t="s">
        <v>146</v>
      </c>
      <c r="F91" s="66" t="s">
        <v>147</v>
      </c>
      <c r="G91" s="67" t="s">
        <v>23</v>
      </c>
      <c r="H91" s="65" t="s">
        <v>34</v>
      </c>
      <c r="I91" s="67" t="s">
        <v>35</v>
      </c>
      <c r="J91" s="67" t="s">
        <v>253</v>
      </c>
      <c r="K91" s="67" t="s">
        <v>254</v>
      </c>
      <c r="L91" s="65" t="s">
        <v>36</v>
      </c>
      <c r="M91" s="68" t="s">
        <v>37</v>
      </c>
      <c r="N91" s="68" t="s">
        <v>29</v>
      </c>
      <c r="O91" s="68" t="s">
        <v>30</v>
      </c>
      <c r="P91" s="69">
        <v>45341.354166666701</v>
      </c>
      <c r="Q91" s="70"/>
      <c r="R91" s="70" t="s">
        <v>31</v>
      </c>
      <c r="S91" s="71">
        <v>45309.381249999999</v>
      </c>
      <c r="T91" s="72"/>
      <c r="U91" s="63">
        <v>45399.5222222222</v>
      </c>
      <c r="V91" s="64">
        <v>139</v>
      </c>
    </row>
    <row r="92" spans="1:22" ht="11.25" x14ac:dyDescent="0.2">
      <c r="A92" s="65">
        <v>305472</v>
      </c>
      <c r="B92" s="65" t="s">
        <v>498</v>
      </c>
      <c r="C92" s="66" t="s">
        <v>499</v>
      </c>
      <c r="D92" s="66" t="s">
        <v>500</v>
      </c>
      <c r="E92" s="67" t="s">
        <v>501</v>
      </c>
      <c r="F92" s="66" t="s">
        <v>502</v>
      </c>
      <c r="G92" s="67" t="s">
        <v>48</v>
      </c>
      <c r="H92" s="65" t="s">
        <v>34</v>
      </c>
      <c r="I92" s="67" t="s">
        <v>35</v>
      </c>
      <c r="J92" s="67" t="s">
        <v>170</v>
      </c>
      <c r="K92" s="67" t="s">
        <v>171</v>
      </c>
      <c r="L92" s="65" t="s">
        <v>36</v>
      </c>
      <c r="M92" s="68" t="s">
        <v>37</v>
      </c>
      <c r="N92" s="68" t="s">
        <v>29</v>
      </c>
      <c r="O92" s="68" t="s">
        <v>30</v>
      </c>
      <c r="P92" s="69">
        <v>45316.333333333299</v>
      </c>
      <c r="Q92" s="70"/>
      <c r="R92" s="70" t="s">
        <v>31</v>
      </c>
      <c r="S92" s="71">
        <v>45314.333333333299</v>
      </c>
      <c r="T92" s="72"/>
      <c r="U92" s="63">
        <v>45405.464583333298</v>
      </c>
      <c r="V92" s="64">
        <v>133</v>
      </c>
    </row>
    <row r="93" spans="1:22" ht="11.25" x14ac:dyDescent="0.2">
      <c r="A93" s="65">
        <v>305476</v>
      </c>
      <c r="B93" s="65" t="s">
        <v>503</v>
      </c>
      <c r="C93" s="66" t="s">
        <v>504</v>
      </c>
      <c r="D93" s="66" t="s">
        <v>504</v>
      </c>
      <c r="E93" s="67" t="s">
        <v>505</v>
      </c>
      <c r="F93" s="66" t="s">
        <v>506</v>
      </c>
      <c r="G93" s="67" t="s">
        <v>222</v>
      </c>
      <c r="H93" s="65" t="s">
        <v>34</v>
      </c>
      <c r="I93" s="67" t="s">
        <v>35</v>
      </c>
      <c r="J93" s="67" t="s">
        <v>88</v>
      </c>
      <c r="K93" s="67" t="s">
        <v>89</v>
      </c>
      <c r="L93" s="65" t="s">
        <v>27</v>
      </c>
      <c r="M93" s="68" t="s">
        <v>28</v>
      </c>
      <c r="N93" s="68" t="s">
        <v>83</v>
      </c>
      <c r="O93" s="68" t="s">
        <v>84</v>
      </c>
      <c r="P93" s="69">
        <v>45341.333333333299</v>
      </c>
      <c r="Q93" s="70"/>
      <c r="R93" s="70" t="s">
        <v>40</v>
      </c>
      <c r="S93" s="71">
        <v>45316</v>
      </c>
      <c r="T93" s="72"/>
      <c r="U93" s="63">
        <v>45316.403472222199</v>
      </c>
      <c r="V93" s="64">
        <v>222</v>
      </c>
    </row>
    <row r="94" spans="1:22" ht="11.25" x14ac:dyDescent="0.2">
      <c r="A94" s="65">
        <v>305483</v>
      </c>
      <c r="B94" s="65" t="s">
        <v>1350</v>
      </c>
      <c r="C94" s="66" t="s">
        <v>1351</v>
      </c>
      <c r="D94" s="66" t="s">
        <v>1351</v>
      </c>
      <c r="E94" s="67" t="s">
        <v>1352</v>
      </c>
      <c r="F94" s="66" t="s">
        <v>1353</v>
      </c>
      <c r="G94" s="67" t="s">
        <v>33</v>
      </c>
      <c r="H94" s="65" t="s">
        <v>467</v>
      </c>
      <c r="I94" s="67" t="s">
        <v>468</v>
      </c>
      <c r="J94" s="67" t="s">
        <v>1354</v>
      </c>
      <c r="K94" s="67" t="s">
        <v>1355</v>
      </c>
      <c r="L94" s="65" t="s">
        <v>36</v>
      </c>
      <c r="M94" s="68" t="s">
        <v>37</v>
      </c>
      <c r="N94" s="68" t="s">
        <v>83</v>
      </c>
      <c r="O94" s="68" t="s">
        <v>84</v>
      </c>
      <c r="P94" s="69"/>
      <c r="Q94" s="70">
        <v>45465.436805555597</v>
      </c>
      <c r="R94" s="70" t="s">
        <v>31</v>
      </c>
      <c r="S94" s="71">
        <v>45313.258333333302</v>
      </c>
      <c r="T94" s="72" t="s">
        <v>1356</v>
      </c>
      <c r="U94" s="63">
        <v>45406.588194444397</v>
      </c>
      <c r="V94" s="64">
        <v>132</v>
      </c>
    </row>
    <row r="95" spans="1:22" ht="11.25" x14ac:dyDescent="0.2">
      <c r="A95" s="65">
        <v>305496</v>
      </c>
      <c r="B95" s="65" t="s">
        <v>511</v>
      </c>
      <c r="C95" s="66" t="s">
        <v>512</v>
      </c>
      <c r="D95" s="66" t="s">
        <v>513</v>
      </c>
      <c r="E95" s="67" t="s">
        <v>514</v>
      </c>
      <c r="F95" s="66" t="s">
        <v>515</v>
      </c>
      <c r="G95" s="67" t="s">
        <v>23</v>
      </c>
      <c r="H95" s="65" t="s">
        <v>22</v>
      </c>
      <c r="I95" s="67" t="s">
        <v>24</v>
      </c>
      <c r="J95" s="67" t="s">
        <v>128</v>
      </c>
      <c r="K95" s="67" t="s">
        <v>129</v>
      </c>
      <c r="L95" s="65" t="s">
        <v>36</v>
      </c>
      <c r="M95" s="68" t="s">
        <v>37</v>
      </c>
      <c r="N95" s="68" t="s">
        <v>51</v>
      </c>
      <c r="O95" s="68" t="s">
        <v>52</v>
      </c>
      <c r="P95" s="69">
        <v>45428.594444444403</v>
      </c>
      <c r="Q95" s="70"/>
      <c r="R95" s="70" t="s">
        <v>31</v>
      </c>
      <c r="S95" s="71">
        <v>45317.4777777778</v>
      </c>
      <c r="T95" s="72"/>
      <c r="U95" s="63">
        <v>45410.412499999999</v>
      </c>
      <c r="V95" s="64">
        <v>128</v>
      </c>
    </row>
    <row r="96" spans="1:22" ht="11.25" x14ac:dyDescent="0.2">
      <c r="A96" s="65">
        <v>305497</v>
      </c>
      <c r="B96" s="65" t="s">
        <v>516</v>
      </c>
      <c r="C96" s="66" t="s">
        <v>517</v>
      </c>
      <c r="D96" s="66" t="s">
        <v>518</v>
      </c>
      <c r="E96" s="67" t="s">
        <v>514</v>
      </c>
      <c r="F96" s="66" t="s">
        <v>515</v>
      </c>
      <c r="G96" s="67" t="s">
        <v>23</v>
      </c>
      <c r="H96" s="65" t="s">
        <v>34</v>
      </c>
      <c r="I96" s="67" t="s">
        <v>35</v>
      </c>
      <c r="J96" s="67" t="s">
        <v>128</v>
      </c>
      <c r="K96" s="67" t="s">
        <v>129</v>
      </c>
      <c r="L96" s="65" t="s">
        <v>36</v>
      </c>
      <c r="M96" s="68" t="s">
        <v>37</v>
      </c>
      <c r="N96" s="68" t="s">
        <v>29</v>
      </c>
      <c r="O96" s="68" t="s">
        <v>30</v>
      </c>
      <c r="P96" s="69">
        <v>45427.652777777803</v>
      </c>
      <c r="Q96" s="70"/>
      <c r="R96" s="70" t="s">
        <v>31</v>
      </c>
      <c r="S96" s="71">
        <v>45317.4777777778</v>
      </c>
      <c r="T96" s="72"/>
      <c r="U96" s="63">
        <v>45410.414583333302</v>
      </c>
      <c r="V96" s="64">
        <v>128</v>
      </c>
    </row>
    <row r="97" spans="1:22" ht="11.25" x14ac:dyDescent="0.2">
      <c r="A97" s="65">
        <v>305499</v>
      </c>
      <c r="B97" s="65" t="s">
        <v>519</v>
      </c>
      <c r="C97" s="66" t="s">
        <v>520</v>
      </c>
      <c r="D97" s="66" t="s">
        <v>520</v>
      </c>
      <c r="E97" s="67" t="s">
        <v>521</v>
      </c>
      <c r="F97" s="66" t="s">
        <v>522</v>
      </c>
      <c r="G97" s="67" t="s">
        <v>222</v>
      </c>
      <c r="H97" s="65" t="s">
        <v>34</v>
      </c>
      <c r="I97" s="67" t="s">
        <v>35</v>
      </c>
      <c r="J97" s="67" t="s">
        <v>523</v>
      </c>
      <c r="K97" s="67" t="s">
        <v>524</v>
      </c>
      <c r="L97" s="65" t="s">
        <v>237</v>
      </c>
      <c r="M97" s="68" t="s">
        <v>238</v>
      </c>
      <c r="N97" s="68" t="s">
        <v>38</v>
      </c>
      <c r="O97" s="68" t="s">
        <v>39</v>
      </c>
      <c r="P97" s="69">
        <v>45321.333333333299</v>
      </c>
      <c r="Q97" s="70"/>
      <c r="R97" s="70" t="s">
        <v>31</v>
      </c>
      <c r="S97" s="71">
        <v>45320</v>
      </c>
      <c r="T97" s="72"/>
      <c r="U97" s="63">
        <v>45410.620138888902</v>
      </c>
      <c r="V97" s="64">
        <v>128</v>
      </c>
    </row>
    <row r="98" spans="1:22" ht="11.25" x14ac:dyDescent="0.2">
      <c r="A98" s="65">
        <v>305519</v>
      </c>
      <c r="B98" s="65" t="s">
        <v>527</v>
      </c>
      <c r="C98" s="66" t="s">
        <v>528</v>
      </c>
      <c r="D98" s="66" t="s">
        <v>528</v>
      </c>
      <c r="E98" s="67" t="s">
        <v>92</v>
      </c>
      <c r="F98" s="66" t="s">
        <v>93</v>
      </c>
      <c r="G98" s="67" t="s">
        <v>23</v>
      </c>
      <c r="H98" s="65" t="s">
        <v>22</v>
      </c>
      <c r="I98" s="67" t="s">
        <v>24</v>
      </c>
      <c r="J98" s="67" t="s">
        <v>507</v>
      </c>
      <c r="K98" s="67" t="s">
        <v>508</v>
      </c>
      <c r="L98" s="65" t="s">
        <v>36</v>
      </c>
      <c r="M98" s="68" t="s">
        <v>37</v>
      </c>
      <c r="N98" s="68" t="s">
        <v>83</v>
      </c>
      <c r="O98" s="68" t="s">
        <v>84</v>
      </c>
      <c r="P98" s="69">
        <v>45450.59375</v>
      </c>
      <c r="Q98" s="70"/>
      <c r="R98" s="70" t="s">
        <v>31</v>
      </c>
      <c r="S98" s="71">
        <v>45322.461805555598</v>
      </c>
      <c r="T98" s="72" t="s">
        <v>96</v>
      </c>
      <c r="U98" s="63">
        <v>45418.488194444399</v>
      </c>
      <c r="V98" s="64">
        <v>120</v>
      </c>
    </row>
    <row r="99" spans="1:22" ht="11.25" x14ac:dyDescent="0.2">
      <c r="A99" s="65">
        <v>305523</v>
      </c>
      <c r="B99" s="65" t="s">
        <v>529</v>
      </c>
      <c r="C99" s="66" t="s">
        <v>530</v>
      </c>
      <c r="D99" s="66" t="s">
        <v>530</v>
      </c>
      <c r="E99" s="67" t="s">
        <v>396</v>
      </c>
      <c r="F99" s="66" t="s">
        <v>397</v>
      </c>
      <c r="G99" s="67" t="s">
        <v>23</v>
      </c>
      <c r="H99" s="65" t="s">
        <v>22</v>
      </c>
      <c r="I99" s="67" t="s">
        <v>24</v>
      </c>
      <c r="J99" s="67" t="s">
        <v>531</v>
      </c>
      <c r="K99" s="67" t="s">
        <v>532</v>
      </c>
      <c r="L99" s="65" t="s">
        <v>36</v>
      </c>
      <c r="M99" s="68" t="s">
        <v>37</v>
      </c>
      <c r="N99" s="68" t="s">
        <v>29</v>
      </c>
      <c r="O99" s="68" t="s">
        <v>30</v>
      </c>
      <c r="P99" s="69">
        <v>45426.572222222203</v>
      </c>
      <c r="Q99" s="70"/>
      <c r="R99" s="70" t="s">
        <v>31</v>
      </c>
      <c r="S99" s="71">
        <v>45322.4597222222</v>
      </c>
      <c r="T99" s="72" t="s">
        <v>398</v>
      </c>
      <c r="U99" s="63">
        <v>45418.488194444399</v>
      </c>
      <c r="V99" s="64">
        <v>120</v>
      </c>
    </row>
    <row r="100" spans="1:22" ht="11.25" x14ac:dyDescent="0.2">
      <c r="A100" s="65">
        <v>305524</v>
      </c>
      <c r="B100" s="65" t="s">
        <v>533</v>
      </c>
      <c r="C100" s="66" t="s">
        <v>534</v>
      </c>
      <c r="D100" s="66" t="s">
        <v>534</v>
      </c>
      <c r="E100" s="67" t="s">
        <v>396</v>
      </c>
      <c r="F100" s="66" t="s">
        <v>397</v>
      </c>
      <c r="G100" s="67" t="s">
        <v>23</v>
      </c>
      <c r="H100" s="65" t="s">
        <v>179</v>
      </c>
      <c r="I100" s="67" t="s">
        <v>180</v>
      </c>
      <c r="J100" s="67" t="s">
        <v>531</v>
      </c>
      <c r="K100" s="67" t="s">
        <v>532</v>
      </c>
      <c r="L100" s="65" t="s">
        <v>36</v>
      </c>
      <c r="M100" s="68" t="s">
        <v>37</v>
      </c>
      <c r="N100" s="68" t="s">
        <v>38</v>
      </c>
      <c r="O100" s="68" t="s">
        <v>39</v>
      </c>
      <c r="P100" s="69"/>
      <c r="Q100" s="70"/>
      <c r="R100" s="70" t="s">
        <v>31</v>
      </c>
      <c r="S100" s="71">
        <v>45322.461805555598</v>
      </c>
      <c r="T100" s="72" t="s">
        <v>398</v>
      </c>
      <c r="U100" s="63">
        <v>45412.461805555598</v>
      </c>
      <c r="V100" s="64">
        <v>126</v>
      </c>
    </row>
    <row r="101" spans="1:22" ht="11.25" x14ac:dyDescent="0.2">
      <c r="A101" s="65">
        <v>305525</v>
      </c>
      <c r="B101" s="65" t="s">
        <v>535</v>
      </c>
      <c r="C101" s="66" t="s">
        <v>536</v>
      </c>
      <c r="D101" s="66" t="s">
        <v>536</v>
      </c>
      <c r="E101" s="67" t="s">
        <v>396</v>
      </c>
      <c r="F101" s="66" t="s">
        <v>397</v>
      </c>
      <c r="G101" s="67" t="s">
        <v>23</v>
      </c>
      <c r="H101" s="65" t="s">
        <v>22</v>
      </c>
      <c r="I101" s="67" t="s">
        <v>24</v>
      </c>
      <c r="J101" s="67" t="s">
        <v>531</v>
      </c>
      <c r="K101" s="67" t="s">
        <v>532</v>
      </c>
      <c r="L101" s="65" t="s">
        <v>36</v>
      </c>
      <c r="M101" s="68" t="s">
        <v>37</v>
      </c>
      <c r="N101" s="68" t="s">
        <v>29</v>
      </c>
      <c r="O101" s="68" t="s">
        <v>30</v>
      </c>
      <c r="P101" s="69"/>
      <c r="Q101" s="70"/>
      <c r="R101" s="70" t="s">
        <v>31</v>
      </c>
      <c r="S101" s="71">
        <v>45322.465972222199</v>
      </c>
      <c r="T101" s="72" t="s">
        <v>398</v>
      </c>
      <c r="U101" s="63">
        <v>45418.488194444399</v>
      </c>
      <c r="V101" s="64">
        <v>120</v>
      </c>
    </row>
    <row r="102" spans="1:22" ht="11.25" x14ac:dyDescent="0.2">
      <c r="A102" s="65">
        <v>305530</v>
      </c>
      <c r="B102" s="65" t="s">
        <v>537</v>
      </c>
      <c r="C102" s="66" t="s">
        <v>538</v>
      </c>
      <c r="D102" s="66" t="s">
        <v>538</v>
      </c>
      <c r="E102" s="67" t="s">
        <v>223</v>
      </c>
      <c r="F102" s="66" t="s">
        <v>224</v>
      </c>
      <c r="G102" s="67" t="s">
        <v>23</v>
      </c>
      <c r="H102" s="65" t="s">
        <v>278</v>
      </c>
      <c r="I102" s="67" t="s">
        <v>279</v>
      </c>
      <c r="J102" s="67" t="s">
        <v>243</v>
      </c>
      <c r="K102" s="67" t="s">
        <v>244</v>
      </c>
      <c r="L102" s="65" t="s">
        <v>36</v>
      </c>
      <c r="M102" s="68" t="s">
        <v>37</v>
      </c>
      <c r="N102" s="68" t="s">
        <v>29</v>
      </c>
      <c r="O102" s="68" t="s">
        <v>30</v>
      </c>
      <c r="P102" s="69"/>
      <c r="Q102" s="70"/>
      <c r="R102" s="70" t="s">
        <v>31</v>
      </c>
      <c r="S102" s="71">
        <v>45321.565972222197</v>
      </c>
      <c r="T102" s="72" t="s">
        <v>135</v>
      </c>
      <c r="U102" s="63">
        <v>45411.565972222197</v>
      </c>
      <c r="V102" s="64">
        <v>127</v>
      </c>
    </row>
    <row r="103" spans="1:22" ht="11.25" x14ac:dyDescent="0.2">
      <c r="A103" s="65">
        <v>305531</v>
      </c>
      <c r="B103" s="65" t="s">
        <v>539</v>
      </c>
      <c r="C103" s="66" t="s">
        <v>540</v>
      </c>
      <c r="D103" s="66" t="s">
        <v>540</v>
      </c>
      <c r="E103" s="67" t="s">
        <v>97</v>
      </c>
      <c r="F103" s="66" t="s">
        <v>98</v>
      </c>
      <c r="G103" s="67" t="s">
        <v>23</v>
      </c>
      <c r="H103" s="65" t="s">
        <v>278</v>
      </c>
      <c r="I103" s="67" t="s">
        <v>279</v>
      </c>
      <c r="J103" s="67" t="s">
        <v>243</v>
      </c>
      <c r="K103" s="67" t="s">
        <v>244</v>
      </c>
      <c r="L103" s="65" t="s">
        <v>36</v>
      </c>
      <c r="M103" s="68" t="s">
        <v>37</v>
      </c>
      <c r="N103" s="68" t="s">
        <v>29</v>
      </c>
      <c r="O103" s="68" t="s">
        <v>30</v>
      </c>
      <c r="P103" s="69"/>
      <c r="Q103" s="70"/>
      <c r="R103" s="70" t="s">
        <v>31</v>
      </c>
      <c r="S103" s="71">
        <v>45321.584027777797</v>
      </c>
      <c r="T103" s="72" t="s">
        <v>85</v>
      </c>
      <c r="U103" s="63">
        <v>45411.584027777797</v>
      </c>
      <c r="V103" s="64">
        <v>127</v>
      </c>
    </row>
    <row r="104" spans="1:22" ht="11.25" x14ac:dyDescent="0.2">
      <c r="A104" s="65">
        <v>305534</v>
      </c>
      <c r="B104" s="65" t="s">
        <v>541</v>
      </c>
      <c r="C104" s="66" t="s">
        <v>542</v>
      </c>
      <c r="D104" s="66" t="s">
        <v>542</v>
      </c>
      <c r="E104" s="67" t="s">
        <v>141</v>
      </c>
      <c r="F104" s="66" t="s">
        <v>142</v>
      </c>
      <c r="G104" s="67" t="s">
        <v>23</v>
      </c>
      <c r="H104" s="65" t="s">
        <v>49</v>
      </c>
      <c r="I104" s="67" t="s">
        <v>50</v>
      </c>
      <c r="J104" s="67" t="s">
        <v>543</v>
      </c>
      <c r="K104" s="67" t="s">
        <v>544</v>
      </c>
      <c r="L104" s="65" t="s">
        <v>36</v>
      </c>
      <c r="M104" s="68" t="s">
        <v>37</v>
      </c>
      <c r="N104" s="68" t="s">
        <v>29</v>
      </c>
      <c r="O104" s="68" t="s">
        <v>30</v>
      </c>
      <c r="P104" s="69">
        <v>45457.493055555598</v>
      </c>
      <c r="Q104" s="70"/>
      <c r="R104" s="70" t="s">
        <v>31</v>
      </c>
      <c r="S104" s="71">
        <v>45314.484027777798</v>
      </c>
      <c r="T104" s="72" t="s">
        <v>85</v>
      </c>
      <c r="U104" s="63">
        <v>45418.488194444399</v>
      </c>
      <c r="V104" s="64">
        <v>120</v>
      </c>
    </row>
    <row r="105" spans="1:22" ht="11.25" x14ac:dyDescent="0.2">
      <c r="A105" s="65">
        <v>305536</v>
      </c>
      <c r="B105" s="65" t="s">
        <v>545</v>
      </c>
      <c r="C105" s="66" t="s">
        <v>546</v>
      </c>
      <c r="D105" s="66" t="s">
        <v>546</v>
      </c>
      <c r="E105" s="67" t="s">
        <v>141</v>
      </c>
      <c r="F105" s="66" t="s">
        <v>142</v>
      </c>
      <c r="G105" s="67" t="s">
        <v>23</v>
      </c>
      <c r="H105" s="65" t="s">
        <v>49</v>
      </c>
      <c r="I105" s="67" t="s">
        <v>50</v>
      </c>
      <c r="J105" s="67" t="s">
        <v>543</v>
      </c>
      <c r="K105" s="67" t="s">
        <v>544</v>
      </c>
      <c r="L105" s="65" t="s">
        <v>36</v>
      </c>
      <c r="M105" s="68" t="s">
        <v>37</v>
      </c>
      <c r="N105" s="68" t="s">
        <v>83</v>
      </c>
      <c r="O105" s="68" t="s">
        <v>84</v>
      </c>
      <c r="P105" s="69"/>
      <c r="Q105" s="70"/>
      <c r="R105" s="70" t="s">
        <v>31</v>
      </c>
      <c r="S105" s="71">
        <v>45314.492361111101</v>
      </c>
      <c r="T105" s="72" t="s">
        <v>85</v>
      </c>
      <c r="U105" s="63">
        <v>45418.488194444399</v>
      </c>
      <c r="V105" s="64">
        <v>120</v>
      </c>
    </row>
    <row r="106" spans="1:22" ht="11.25" x14ac:dyDescent="0.2">
      <c r="A106" s="65">
        <v>305549</v>
      </c>
      <c r="B106" s="65" t="s">
        <v>547</v>
      </c>
      <c r="C106" s="66" t="s">
        <v>548</v>
      </c>
      <c r="D106" s="66" t="s">
        <v>548</v>
      </c>
      <c r="E106" s="67" t="s">
        <v>525</v>
      </c>
      <c r="F106" s="66" t="s">
        <v>526</v>
      </c>
      <c r="G106" s="67" t="s">
        <v>23</v>
      </c>
      <c r="H106" s="65" t="s">
        <v>34</v>
      </c>
      <c r="I106" s="67" t="s">
        <v>35</v>
      </c>
      <c r="J106" s="67" t="s">
        <v>25</v>
      </c>
      <c r="K106" s="67" t="s">
        <v>26</v>
      </c>
      <c r="L106" s="65" t="s">
        <v>36</v>
      </c>
      <c r="M106" s="68" t="s">
        <v>37</v>
      </c>
      <c r="N106" s="68" t="s">
        <v>29</v>
      </c>
      <c r="O106" s="68" t="s">
        <v>30</v>
      </c>
      <c r="P106" s="69">
        <v>45371.333333333299</v>
      </c>
      <c r="Q106" s="70"/>
      <c r="R106" s="70" t="s">
        <v>31</v>
      </c>
      <c r="S106" s="71">
        <v>45327.298611111102</v>
      </c>
      <c r="T106" s="72" t="s">
        <v>32</v>
      </c>
      <c r="U106" s="63">
        <v>45425.328472222202</v>
      </c>
      <c r="V106" s="64">
        <v>113</v>
      </c>
    </row>
    <row r="107" spans="1:22" ht="11.25" x14ac:dyDescent="0.2">
      <c r="A107" s="65">
        <v>305552</v>
      </c>
      <c r="B107" s="65" t="s">
        <v>551</v>
      </c>
      <c r="C107" s="66" t="s">
        <v>552</v>
      </c>
      <c r="D107" s="66" t="s">
        <v>552</v>
      </c>
      <c r="E107" s="67" t="s">
        <v>348</v>
      </c>
      <c r="F107" s="66" t="s">
        <v>349</v>
      </c>
      <c r="G107" s="67" t="s">
        <v>33</v>
      </c>
      <c r="H107" s="65" t="s">
        <v>34</v>
      </c>
      <c r="I107" s="67" t="s">
        <v>35</v>
      </c>
      <c r="J107" s="67" t="s">
        <v>475</v>
      </c>
      <c r="K107" s="67" t="s">
        <v>476</v>
      </c>
      <c r="L107" s="65" t="s">
        <v>36</v>
      </c>
      <c r="M107" s="68" t="s">
        <v>37</v>
      </c>
      <c r="N107" s="68" t="s">
        <v>29</v>
      </c>
      <c r="O107" s="68" t="s">
        <v>30</v>
      </c>
      <c r="P107" s="69">
        <v>45405.679861111101</v>
      </c>
      <c r="Q107" s="70"/>
      <c r="R107" s="70" t="s">
        <v>31</v>
      </c>
      <c r="S107" s="71">
        <v>45329.318055555603</v>
      </c>
      <c r="T107" s="72" t="s">
        <v>68</v>
      </c>
      <c r="U107" s="63">
        <v>45425.328472222202</v>
      </c>
      <c r="V107" s="64">
        <v>113</v>
      </c>
    </row>
    <row r="108" spans="1:22" ht="11.25" x14ac:dyDescent="0.2">
      <c r="A108" s="65">
        <v>305561</v>
      </c>
      <c r="B108" s="65" t="s">
        <v>555</v>
      </c>
      <c r="C108" s="66" t="s">
        <v>556</v>
      </c>
      <c r="D108" s="66" t="s">
        <v>556</v>
      </c>
      <c r="E108" s="67" t="s">
        <v>557</v>
      </c>
      <c r="F108" s="66" t="s">
        <v>558</v>
      </c>
      <c r="G108" s="67" t="s">
        <v>23</v>
      </c>
      <c r="H108" s="65" t="s">
        <v>53</v>
      </c>
      <c r="I108" s="67" t="s">
        <v>54</v>
      </c>
      <c r="J108" s="67" t="s">
        <v>94</v>
      </c>
      <c r="K108" s="67" t="s">
        <v>95</v>
      </c>
      <c r="L108" s="65" t="s">
        <v>36</v>
      </c>
      <c r="M108" s="68" t="s">
        <v>37</v>
      </c>
      <c r="N108" s="68" t="s">
        <v>51</v>
      </c>
      <c r="O108" s="68" t="s">
        <v>52</v>
      </c>
      <c r="P108" s="69">
        <v>45343.40625</v>
      </c>
      <c r="Q108" s="70"/>
      <c r="R108" s="70" t="s">
        <v>31</v>
      </c>
      <c r="S108" s="71">
        <v>45342.462500000001</v>
      </c>
      <c r="T108" s="72" t="s">
        <v>96</v>
      </c>
      <c r="U108" s="63">
        <v>45433.4</v>
      </c>
      <c r="V108" s="64">
        <v>105</v>
      </c>
    </row>
    <row r="109" spans="1:22" ht="11.25" x14ac:dyDescent="0.2">
      <c r="A109" s="65">
        <v>305563</v>
      </c>
      <c r="B109" s="65" t="s">
        <v>559</v>
      </c>
      <c r="C109" s="66" t="s">
        <v>560</v>
      </c>
      <c r="D109" s="66" t="s">
        <v>560</v>
      </c>
      <c r="E109" s="67" t="s">
        <v>42</v>
      </c>
      <c r="F109" s="66" t="s">
        <v>43</v>
      </c>
      <c r="G109" s="67" t="s">
        <v>23</v>
      </c>
      <c r="H109" s="65" t="s">
        <v>81</v>
      </c>
      <c r="I109" s="67" t="s">
        <v>82</v>
      </c>
      <c r="J109" s="67" t="s">
        <v>217</v>
      </c>
      <c r="K109" s="67" t="s">
        <v>218</v>
      </c>
      <c r="L109" s="65" t="s">
        <v>36</v>
      </c>
      <c r="M109" s="68" t="s">
        <v>37</v>
      </c>
      <c r="N109" s="68" t="s">
        <v>57</v>
      </c>
      <c r="O109" s="68" t="s">
        <v>58</v>
      </c>
      <c r="P109" s="69">
        <v>45349.416666666701</v>
      </c>
      <c r="Q109" s="70"/>
      <c r="R109" s="70" t="s">
        <v>31</v>
      </c>
      <c r="S109" s="71">
        <v>45342.461111111101</v>
      </c>
      <c r="T109" s="72" t="s">
        <v>46</v>
      </c>
      <c r="U109" s="63">
        <v>45433.4</v>
      </c>
      <c r="V109" s="64">
        <v>105</v>
      </c>
    </row>
    <row r="110" spans="1:22" ht="11.25" x14ac:dyDescent="0.2">
      <c r="A110" s="65">
        <v>305570</v>
      </c>
      <c r="B110" s="65" t="s">
        <v>563</v>
      </c>
      <c r="C110" s="66" t="s">
        <v>564</v>
      </c>
      <c r="D110" s="66" t="s">
        <v>564</v>
      </c>
      <c r="E110" s="67" t="s">
        <v>565</v>
      </c>
      <c r="F110" s="66" t="s">
        <v>566</v>
      </c>
      <c r="G110" s="67" t="s">
        <v>48</v>
      </c>
      <c r="H110" s="65" t="s">
        <v>34</v>
      </c>
      <c r="I110" s="67" t="s">
        <v>35</v>
      </c>
      <c r="J110" s="67" t="s">
        <v>66</v>
      </c>
      <c r="K110" s="67" t="s">
        <v>67</v>
      </c>
      <c r="L110" s="65" t="s">
        <v>36</v>
      </c>
      <c r="M110" s="68" t="s">
        <v>37</v>
      </c>
      <c r="N110" s="68" t="s">
        <v>57</v>
      </c>
      <c r="O110" s="68" t="s">
        <v>58</v>
      </c>
      <c r="P110" s="69">
        <v>45421.354166666701</v>
      </c>
      <c r="Q110" s="70"/>
      <c r="R110" s="70" t="s">
        <v>31</v>
      </c>
      <c r="S110" s="71">
        <v>45332.472222222197</v>
      </c>
      <c r="T110" s="72" t="s">
        <v>567</v>
      </c>
      <c r="U110" s="63">
        <v>45433.4</v>
      </c>
      <c r="V110" s="64">
        <v>105</v>
      </c>
    </row>
    <row r="111" spans="1:22" ht="11.25" x14ac:dyDescent="0.2">
      <c r="A111" s="65">
        <v>305595</v>
      </c>
      <c r="B111" s="65" t="s">
        <v>580</v>
      </c>
      <c r="C111" s="66" t="s">
        <v>581</v>
      </c>
      <c r="D111" s="66" t="s">
        <v>581</v>
      </c>
      <c r="E111" s="67" t="s">
        <v>348</v>
      </c>
      <c r="F111" s="66" t="s">
        <v>349</v>
      </c>
      <c r="G111" s="67" t="s">
        <v>33</v>
      </c>
      <c r="H111" s="65" t="s">
        <v>179</v>
      </c>
      <c r="I111" s="67" t="s">
        <v>180</v>
      </c>
      <c r="J111" s="67" t="s">
        <v>475</v>
      </c>
      <c r="K111" s="67" t="s">
        <v>476</v>
      </c>
      <c r="L111" s="65" t="s">
        <v>36</v>
      </c>
      <c r="M111" s="68" t="s">
        <v>37</v>
      </c>
      <c r="N111" s="68" t="s">
        <v>90</v>
      </c>
      <c r="O111" s="68" t="s">
        <v>91</v>
      </c>
      <c r="P111" s="69"/>
      <c r="Q111" s="70"/>
      <c r="R111" s="70" t="s">
        <v>31</v>
      </c>
      <c r="S111" s="71">
        <v>45330.304861111101</v>
      </c>
      <c r="T111" s="72" t="s">
        <v>68</v>
      </c>
      <c r="U111" s="63">
        <v>45420.304861111101</v>
      </c>
      <c r="V111" s="64">
        <v>118</v>
      </c>
    </row>
    <row r="112" spans="1:22" ht="11.25" x14ac:dyDescent="0.2">
      <c r="A112" s="65">
        <v>305598</v>
      </c>
      <c r="B112" s="65" t="s">
        <v>582</v>
      </c>
      <c r="C112" s="66" t="s">
        <v>583</v>
      </c>
      <c r="D112" s="66" t="s">
        <v>583</v>
      </c>
      <c r="E112" s="67" t="s">
        <v>219</v>
      </c>
      <c r="F112" s="66" t="s">
        <v>220</v>
      </c>
      <c r="G112" s="67" t="s">
        <v>33</v>
      </c>
      <c r="H112" s="65" t="s">
        <v>34</v>
      </c>
      <c r="I112" s="67" t="s">
        <v>35</v>
      </c>
      <c r="J112" s="67" t="s">
        <v>584</v>
      </c>
      <c r="K112" s="67" t="s">
        <v>585</v>
      </c>
      <c r="L112" s="65" t="s">
        <v>36</v>
      </c>
      <c r="M112" s="68" t="s">
        <v>37</v>
      </c>
      <c r="N112" s="68" t="s">
        <v>76</v>
      </c>
      <c r="O112" s="68" t="s">
        <v>77</v>
      </c>
      <c r="P112" s="69">
        <v>45522.409027777801</v>
      </c>
      <c r="Q112" s="70"/>
      <c r="R112" s="70" t="s">
        <v>31</v>
      </c>
      <c r="S112" s="71">
        <v>45345.379861111098</v>
      </c>
      <c r="T112" s="72" t="s">
        <v>221</v>
      </c>
      <c r="U112" s="63">
        <v>45436.396527777797</v>
      </c>
      <c r="V112" s="64">
        <v>102</v>
      </c>
    </row>
    <row r="113" spans="1:22" ht="11.25" x14ac:dyDescent="0.2">
      <c r="A113" s="65">
        <v>305599</v>
      </c>
      <c r="B113" s="65" t="s">
        <v>586</v>
      </c>
      <c r="C113" s="66" t="s">
        <v>587</v>
      </c>
      <c r="D113" s="66" t="s">
        <v>588</v>
      </c>
      <c r="E113" s="67" t="s">
        <v>589</v>
      </c>
      <c r="F113" s="66" t="s">
        <v>590</v>
      </c>
      <c r="G113" s="67" t="s">
        <v>33</v>
      </c>
      <c r="H113" s="65" t="s">
        <v>179</v>
      </c>
      <c r="I113" s="67" t="s">
        <v>180</v>
      </c>
      <c r="J113" s="67" t="s">
        <v>66</v>
      </c>
      <c r="K113" s="67" t="s">
        <v>67</v>
      </c>
      <c r="L113" s="65" t="s">
        <v>36</v>
      </c>
      <c r="M113" s="68" t="s">
        <v>37</v>
      </c>
      <c r="N113" s="68" t="s">
        <v>90</v>
      </c>
      <c r="O113" s="68" t="s">
        <v>91</v>
      </c>
      <c r="P113" s="69"/>
      <c r="Q113" s="70"/>
      <c r="R113" s="70" t="s">
        <v>40</v>
      </c>
      <c r="S113" s="71">
        <v>45345.5444444444</v>
      </c>
      <c r="T113" s="72" t="s">
        <v>479</v>
      </c>
      <c r="U113" s="63">
        <v>45375.5444444444</v>
      </c>
      <c r="V113" s="64">
        <v>163</v>
      </c>
    </row>
    <row r="114" spans="1:22" ht="11.25" x14ac:dyDescent="0.2">
      <c r="A114" s="65">
        <v>305600</v>
      </c>
      <c r="B114" s="65" t="s">
        <v>591</v>
      </c>
      <c r="C114" s="66" t="s">
        <v>592</v>
      </c>
      <c r="D114" s="66" t="s">
        <v>593</v>
      </c>
      <c r="E114" s="67" t="s">
        <v>219</v>
      </c>
      <c r="F114" s="66" t="s">
        <v>220</v>
      </c>
      <c r="G114" s="67" t="s">
        <v>33</v>
      </c>
      <c r="H114" s="65" t="s">
        <v>34</v>
      </c>
      <c r="I114" s="67" t="s">
        <v>35</v>
      </c>
      <c r="J114" s="67" t="s">
        <v>584</v>
      </c>
      <c r="K114" s="67" t="s">
        <v>585</v>
      </c>
      <c r="L114" s="65" t="s">
        <v>36</v>
      </c>
      <c r="M114" s="68" t="s">
        <v>37</v>
      </c>
      <c r="N114" s="68" t="s">
        <v>76</v>
      </c>
      <c r="O114" s="68" t="s">
        <v>77</v>
      </c>
      <c r="P114" s="69">
        <v>45523.409722222197</v>
      </c>
      <c r="Q114" s="70"/>
      <c r="R114" s="70" t="s">
        <v>31</v>
      </c>
      <c r="S114" s="71">
        <v>45345.386111111096</v>
      </c>
      <c r="T114" s="72" t="s">
        <v>221</v>
      </c>
      <c r="U114" s="63">
        <v>45436.396527777797</v>
      </c>
      <c r="V114" s="64">
        <v>102</v>
      </c>
    </row>
    <row r="115" spans="1:22" ht="11.25" x14ac:dyDescent="0.2">
      <c r="A115" s="65">
        <v>305610</v>
      </c>
      <c r="B115" s="65" t="s">
        <v>597</v>
      </c>
      <c r="C115" s="66" t="s">
        <v>598</v>
      </c>
      <c r="D115" s="66" t="s">
        <v>598</v>
      </c>
      <c r="E115" s="67" t="s">
        <v>223</v>
      </c>
      <c r="F115" s="66" t="s">
        <v>224</v>
      </c>
      <c r="G115" s="67" t="s">
        <v>23</v>
      </c>
      <c r="H115" s="65" t="s">
        <v>22</v>
      </c>
      <c r="I115" s="67" t="s">
        <v>24</v>
      </c>
      <c r="J115" s="67" t="s">
        <v>599</v>
      </c>
      <c r="K115" s="67" t="s">
        <v>600</v>
      </c>
      <c r="L115" s="65" t="s">
        <v>36</v>
      </c>
      <c r="M115" s="68" t="s">
        <v>37</v>
      </c>
      <c r="N115" s="68" t="s">
        <v>29</v>
      </c>
      <c r="O115" s="68" t="s">
        <v>30</v>
      </c>
      <c r="P115" s="69">
        <v>45461.5</v>
      </c>
      <c r="Q115" s="70"/>
      <c r="R115" s="70" t="s">
        <v>31</v>
      </c>
      <c r="S115" s="71">
        <v>45348.979861111096</v>
      </c>
      <c r="T115" s="72" t="s">
        <v>135</v>
      </c>
      <c r="U115" s="63">
        <v>45440.617361111101</v>
      </c>
      <c r="V115" s="64">
        <v>98</v>
      </c>
    </row>
    <row r="116" spans="1:22" ht="11.25" x14ac:dyDescent="0.2">
      <c r="A116" s="65">
        <v>305611</v>
      </c>
      <c r="B116" s="65" t="s">
        <v>601</v>
      </c>
      <c r="C116" s="66" t="s">
        <v>602</v>
      </c>
      <c r="D116" s="66" t="s">
        <v>603</v>
      </c>
      <c r="E116" s="67" t="s">
        <v>604</v>
      </c>
      <c r="F116" s="66" t="s">
        <v>605</v>
      </c>
      <c r="G116" s="67" t="s">
        <v>23</v>
      </c>
      <c r="H116" s="65" t="s">
        <v>81</v>
      </c>
      <c r="I116" s="67" t="s">
        <v>82</v>
      </c>
      <c r="J116" s="67" t="s">
        <v>66</v>
      </c>
      <c r="K116" s="67" t="s">
        <v>67</v>
      </c>
      <c r="L116" s="65" t="s">
        <v>36</v>
      </c>
      <c r="M116" s="68" t="s">
        <v>37</v>
      </c>
      <c r="N116" s="68" t="s">
        <v>57</v>
      </c>
      <c r="O116" s="68" t="s">
        <v>58</v>
      </c>
      <c r="P116" s="69">
        <v>45427.504166666702</v>
      </c>
      <c r="Q116" s="70"/>
      <c r="R116" s="70" t="s">
        <v>31</v>
      </c>
      <c r="S116" s="71">
        <v>45323.616666666698</v>
      </c>
      <c r="T116" s="72" t="s">
        <v>606</v>
      </c>
      <c r="U116" s="63">
        <v>45440.617361111101</v>
      </c>
      <c r="V116" s="64">
        <v>98</v>
      </c>
    </row>
    <row r="117" spans="1:22" ht="11.25" x14ac:dyDescent="0.2">
      <c r="A117" s="65">
        <v>305616</v>
      </c>
      <c r="B117" s="65" t="s">
        <v>1357</v>
      </c>
      <c r="C117" s="66" t="s">
        <v>1358</v>
      </c>
      <c r="D117" s="66" t="s">
        <v>1359</v>
      </c>
      <c r="E117" s="67" t="s">
        <v>219</v>
      </c>
      <c r="F117" s="66" t="s">
        <v>220</v>
      </c>
      <c r="G117" s="67" t="s">
        <v>33</v>
      </c>
      <c r="H117" s="65" t="s">
        <v>467</v>
      </c>
      <c r="I117" s="67" t="s">
        <v>468</v>
      </c>
      <c r="J117" s="67" t="s">
        <v>71</v>
      </c>
      <c r="K117" s="67" t="s">
        <v>72</v>
      </c>
      <c r="L117" s="65" t="s">
        <v>36</v>
      </c>
      <c r="M117" s="68" t="s">
        <v>37</v>
      </c>
      <c r="N117" s="68" t="s">
        <v>29</v>
      </c>
      <c r="O117" s="68" t="s">
        <v>30</v>
      </c>
      <c r="P117" s="69">
        <v>45353.25</v>
      </c>
      <c r="Q117" s="70">
        <v>45465.441666666702</v>
      </c>
      <c r="R117" s="70" t="s">
        <v>31</v>
      </c>
      <c r="S117" s="71">
        <v>45351.628472222197</v>
      </c>
      <c r="T117" s="72"/>
      <c r="U117" s="63">
        <v>45442.627777777801</v>
      </c>
      <c r="V117" s="64">
        <v>96</v>
      </c>
    </row>
    <row r="118" spans="1:22" ht="11.25" x14ac:dyDescent="0.2">
      <c r="A118" s="65">
        <v>305625</v>
      </c>
      <c r="B118" s="65" t="s">
        <v>610</v>
      </c>
      <c r="C118" s="66" t="s">
        <v>611</v>
      </c>
      <c r="D118" s="66" t="s">
        <v>612</v>
      </c>
      <c r="E118" s="67" t="s">
        <v>155</v>
      </c>
      <c r="F118" s="66" t="s">
        <v>156</v>
      </c>
      <c r="G118" s="67" t="s">
        <v>33</v>
      </c>
      <c r="H118" s="65" t="s">
        <v>34</v>
      </c>
      <c r="I118" s="67" t="s">
        <v>35</v>
      </c>
      <c r="J118" s="67" t="s">
        <v>66</v>
      </c>
      <c r="K118" s="67" t="s">
        <v>67</v>
      </c>
      <c r="L118" s="65" t="s">
        <v>36</v>
      </c>
      <c r="M118" s="68" t="s">
        <v>37</v>
      </c>
      <c r="N118" s="68" t="s">
        <v>76</v>
      </c>
      <c r="O118" s="68" t="s">
        <v>77</v>
      </c>
      <c r="P118" s="69">
        <v>45523.400694444397</v>
      </c>
      <c r="Q118" s="70"/>
      <c r="R118" s="70" t="s">
        <v>31</v>
      </c>
      <c r="S118" s="71">
        <v>45351.265277777798</v>
      </c>
      <c r="T118" s="72" t="s">
        <v>100</v>
      </c>
      <c r="U118" s="63">
        <v>45446.427777777797</v>
      </c>
      <c r="V118" s="64">
        <v>92</v>
      </c>
    </row>
    <row r="119" spans="1:22" ht="11.25" x14ac:dyDescent="0.2">
      <c r="A119" s="65">
        <v>305626</v>
      </c>
      <c r="B119" s="65" t="s">
        <v>613</v>
      </c>
      <c r="C119" s="66" t="s">
        <v>614</v>
      </c>
      <c r="D119" s="66" t="s">
        <v>615</v>
      </c>
      <c r="E119" s="67" t="s">
        <v>155</v>
      </c>
      <c r="F119" s="66" t="s">
        <v>156</v>
      </c>
      <c r="G119" s="67" t="s">
        <v>33</v>
      </c>
      <c r="H119" s="65" t="s">
        <v>34</v>
      </c>
      <c r="I119" s="67" t="s">
        <v>35</v>
      </c>
      <c r="J119" s="67" t="s">
        <v>66</v>
      </c>
      <c r="K119" s="67" t="s">
        <v>67</v>
      </c>
      <c r="L119" s="65" t="s">
        <v>36</v>
      </c>
      <c r="M119" s="68" t="s">
        <v>37</v>
      </c>
      <c r="N119" s="68" t="s">
        <v>76</v>
      </c>
      <c r="O119" s="68" t="s">
        <v>77</v>
      </c>
      <c r="P119" s="69">
        <v>45523.401388888902</v>
      </c>
      <c r="Q119" s="70"/>
      <c r="R119" s="70" t="s">
        <v>31</v>
      </c>
      <c r="S119" s="71">
        <v>45351.2680555556</v>
      </c>
      <c r="T119" s="72" t="s">
        <v>100</v>
      </c>
      <c r="U119" s="63">
        <v>45446.427777777797</v>
      </c>
      <c r="V119" s="64">
        <v>92</v>
      </c>
    </row>
    <row r="120" spans="1:22" ht="11.25" x14ac:dyDescent="0.2">
      <c r="A120" s="65">
        <v>305640</v>
      </c>
      <c r="B120" s="65" t="s">
        <v>1360</v>
      </c>
      <c r="C120" s="66" t="s">
        <v>1361</v>
      </c>
      <c r="D120" s="66" t="s">
        <v>1361</v>
      </c>
      <c r="E120" s="67" t="s">
        <v>1362</v>
      </c>
      <c r="F120" s="66" t="s">
        <v>1363</v>
      </c>
      <c r="G120" s="67" t="s">
        <v>33</v>
      </c>
      <c r="H120" s="65" t="s">
        <v>467</v>
      </c>
      <c r="I120" s="67" t="s">
        <v>468</v>
      </c>
      <c r="J120" s="67" t="s">
        <v>66</v>
      </c>
      <c r="K120" s="67" t="s">
        <v>67</v>
      </c>
      <c r="L120" s="65" t="s">
        <v>36</v>
      </c>
      <c r="M120" s="68" t="s">
        <v>37</v>
      </c>
      <c r="N120" s="68" t="s">
        <v>90</v>
      </c>
      <c r="O120" s="68" t="s">
        <v>91</v>
      </c>
      <c r="P120" s="69"/>
      <c r="Q120" s="70">
        <v>45465.438888888901</v>
      </c>
      <c r="R120" s="70" t="s">
        <v>31</v>
      </c>
      <c r="S120" s="71">
        <v>45351.416666666701</v>
      </c>
      <c r="T120" s="72" t="s">
        <v>211</v>
      </c>
      <c r="U120" s="63">
        <v>45446.427777777797</v>
      </c>
      <c r="V120" s="64">
        <v>92</v>
      </c>
    </row>
    <row r="121" spans="1:22" ht="11.25" x14ac:dyDescent="0.2">
      <c r="A121" s="65">
        <v>305647</v>
      </c>
      <c r="B121" s="65" t="s">
        <v>1364</v>
      </c>
      <c r="C121" s="66" t="s">
        <v>1365</v>
      </c>
      <c r="D121" s="66" t="s">
        <v>1365</v>
      </c>
      <c r="E121" s="67" t="s">
        <v>1366</v>
      </c>
      <c r="F121" s="66" t="s">
        <v>1367</v>
      </c>
      <c r="G121" s="67" t="s">
        <v>33</v>
      </c>
      <c r="H121" s="65" t="s">
        <v>467</v>
      </c>
      <c r="I121" s="67" t="s">
        <v>468</v>
      </c>
      <c r="J121" s="67" t="s">
        <v>71</v>
      </c>
      <c r="K121" s="67" t="s">
        <v>72</v>
      </c>
      <c r="L121" s="65" t="s">
        <v>36</v>
      </c>
      <c r="M121" s="68" t="s">
        <v>37</v>
      </c>
      <c r="N121" s="68" t="s">
        <v>29</v>
      </c>
      <c r="O121" s="68" t="s">
        <v>30</v>
      </c>
      <c r="P121" s="69"/>
      <c r="Q121" s="70">
        <v>45465.439583333296</v>
      </c>
      <c r="R121" s="70" t="s">
        <v>40</v>
      </c>
      <c r="S121" s="71">
        <v>45356.403472222199</v>
      </c>
      <c r="T121" s="72" t="s">
        <v>1204</v>
      </c>
      <c r="U121" s="63">
        <v>45358.412499999999</v>
      </c>
      <c r="V121" s="64">
        <v>180</v>
      </c>
    </row>
    <row r="122" spans="1:22" ht="11.25" x14ac:dyDescent="0.2">
      <c r="A122" s="65">
        <v>305657</v>
      </c>
      <c r="B122" s="65" t="s">
        <v>620</v>
      </c>
      <c r="C122" s="66" t="s">
        <v>621</v>
      </c>
      <c r="D122" s="66" t="s">
        <v>621</v>
      </c>
      <c r="E122" s="67" t="s">
        <v>622</v>
      </c>
      <c r="F122" s="66" t="s">
        <v>623</v>
      </c>
      <c r="G122" s="67" t="s">
        <v>23</v>
      </c>
      <c r="H122" s="65" t="s">
        <v>22</v>
      </c>
      <c r="I122" s="67" t="s">
        <v>24</v>
      </c>
      <c r="J122" s="67" t="s">
        <v>66</v>
      </c>
      <c r="K122" s="67" t="s">
        <v>67</v>
      </c>
      <c r="L122" s="65" t="s">
        <v>36</v>
      </c>
      <c r="M122" s="68" t="s">
        <v>37</v>
      </c>
      <c r="N122" s="68" t="s">
        <v>29</v>
      </c>
      <c r="O122" s="68" t="s">
        <v>30</v>
      </c>
      <c r="P122" s="69">
        <v>45462.5</v>
      </c>
      <c r="Q122" s="70"/>
      <c r="R122" s="70" t="s">
        <v>31</v>
      </c>
      <c r="S122" s="71">
        <v>45363.690277777801</v>
      </c>
      <c r="T122" s="72" t="s">
        <v>85</v>
      </c>
      <c r="U122" s="63">
        <v>45454.675000000003</v>
      </c>
      <c r="V122" s="64">
        <v>84</v>
      </c>
    </row>
    <row r="123" spans="1:22" ht="11.25" x14ac:dyDescent="0.2">
      <c r="A123" s="65">
        <v>305658</v>
      </c>
      <c r="B123" s="65" t="s">
        <v>624</v>
      </c>
      <c r="C123" s="66" t="s">
        <v>625</v>
      </c>
      <c r="D123" s="66" t="s">
        <v>625</v>
      </c>
      <c r="E123" s="67" t="s">
        <v>626</v>
      </c>
      <c r="F123" s="66" t="s">
        <v>627</v>
      </c>
      <c r="G123" s="67" t="s">
        <v>23</v>
      </c>
      <c r="H123" s="65" t="s">
        <v>22</v>
      </c>
      <c r="I123" s="67" t="s">
        <v>24</v>
      </c>
      <c r="J123" s="67" t="s">
        <v>327</v>
      </c>
      <c r="K123" s="67" t="s">
        <v>328</v>
      </c>
      <c r="L123" s="65" t="s">
        <v>36</v>
      </c>
      <c r="M123" s="68" t="s">
        <v>37</v>
      </c>
      <c r="N123" s="68" t="s">
        <v>29</v>
      </c>
      <c r="O123" s="68" t="s">
        <v>30</v>
      </c>
      <c r="P123" s="69">
        <v>45461.5</v>
      </c>
      <c r="Q123" s="70"/>
      <c r="R123" s="70" t="s">
        <v>31</v>
      </c>
      <c r="S123" s="71">
        <v>45363.954861111102</v>
      </c>
      <c r="T123" s="72" t="s">
        <v>85</v>
      </c>
      <c r="U123" s="63">
        <v>45454.675000000003</v>
      </c>
      <c r="V123" s="64">
        <v>84</v>
      </c>
    </row>
    <row r="124" spans="1:22" ht="11.25" x14ac:dyDescent="0.2">
      <c r="A124" s="65">
        <v>305659</v>
      </c>
      <c r="B124" s="65" t="s">
        <v>628</v>
      </c>
      <c r="C124" s="66" t="s">
        <v>629</v>
      </c>
      <c r="D124" s="66" t="s">
        <v>629</v>
      </c>
      <c r="E124" s="67" t="s">
        <v>286</v>
      </c>
      <c r="F124" s="66" t="s">
        <v>287</v>
      </c>
      <c r="G124" s="67" t="s">
        <v>23</v>
      </c>
      <c r="H124" s="65" t="s">
        <v>22</v>
      </c>
      <c r="I124" s="67" t="s">
        <v>24</v>
      </c>
      <c r="J124" s="67" t="s">
        <v>509</v>
      </c>
      <c r="K124" s="67" t="s">
        <v>510</v>
      </c>
      <c r="L124" s="65" t="s">
        <v>36</v>
      </c>
      <c r="M124" s="68" t="s">
        <v>37</v>
      </c>
      <c r="N124" s="68" t="s">
        <v>29</v>
      </c>
      <c r="O124" s="68" t="s">
        <v>30</v>
      </c>
      <c r="P124" s="69">
        <v>45432.59375</v>
      </c>
      <c r="Q124" s="70"/>
      <c r="R124" s="70" t="s">
        <v>31</v>
      </c>
      <c r="S124" s="71">
        <v>45363.640972222202</v>
      </c>
      <c r="T124" s="72" t="s">
        <v>85</v>
      </c>
      <c r="U124" s="63">
        <v>45454.675000000003</v>
      </c>
      <c r="V124" s="64">
        <v>84</v>
      </c>
    </row>
    <row r="125" spans="1:22" ht="11.25" x14ac:dyDescent="0.2">
      <c r="A125" s="65">
        <v>305660</v>
      </c>
      <c r="B125" s="65" t="s">
        <v>630</v>
      </c>
      <c r="C125" s="66" t="s">
        <v>631</v>
      </c>
      <c r="D125" s="66" t="s">
        <v>631</v>
      </c>
      <c r="E125" s="67" t="s">
        <v>286</v>
      </c>
      <c r="F125" s="66" t="s">
        <v>287</v>
      </c>
      <c r="G125" s="67" t="s">
        <v>23</v>
      </c>
      <c r="H125" s="65" t="s">
        <v>22</v>
      </c>
      <c r="I125" s="67" t="s">
        <v>24</v>
      </c>
      <c r="J125" s="67" t="s">
        <v>509</v>
      </c>
      <c r="K125" s="67" t="s">
        <v>510</v>
      </c>
      <c r="L125" s="65" t="s">
        <v>36</v>
      </c>
      <c r="M125" s="68" t="s">
        <v>37</v>
      </c>
      <c r="N125" s="68" t="s">
        <v>29</v>
      </c>
      <c r="O125" s="68" t="s">
        <v>30</v>
      </c>
      <c r="P125" s="69">
        <v>45432.59375</v>
      </c>
      <c r="Q125" s="70"/>
      <c r="R125" s="70" t="s">
        <v>31</v>
      </c>
      <c r="S125" s="71">
        <v>45363.6381944444</v>
      </c>
      <c r="T125" s="72" t="s">
        <v>85</v>
      </c>
      <c r="U125" s="63">
        <v>45454.675000000003</v>
      </c>
      <c r="V125" s="64">
        <v>84</v>
      </c>
    </row>
    <row r="126" spans="1:22" ht="11.25" x14ac:dyDescent="0.2">
      <c r="A126" s="65">
        <v>305666</v>
      </c>
      <c r="B126" s="65" t="s">
        <v>636</v>
      </c>
      <c r="C126" s="66" t="s">
        <v>637</v>
      </c>
      <c r="D126" s="66" t="s">
        <v>637</v>
      </c>
      <c r="E126" s="67" t="s">
        <v>396</v>
      </c>
      <c r="F126" s="66" t="s">
        <v>397</v>
      </c>
      <c r="G126" s="67" t="s">
        <v>23</v>
      </c>
      <c r="H126" s="65" t="s">
        <v>22</v>
      </c>
      <c r="I126" s="67" t="s">
        <v>24</v>
      </c>
      <c r="J126" s="67" t="s">
        <v>66</v>
      </c>
      <c r="K126" s="67" t="s">
        <v>67</v>
      </c>
      <c r="L126" s="65" t="s">
        <v>36</v>
      </c>
      <c r="M126" s="68" t="s">
        <v>37</v>
      </c>
      <c r="N126" s="68" t="s">
        <v>29</v>
      </c>
      <c r="O126" s="68" t="s">
        <v>30</v>
      </c>
      <c r="P126" s="69">
        <v>45461.500694444403</v>
      </c>
      <c r="Q126" s="70"/>
      <c r="R126" s="70" t="s">
        <v>31</v>
      </c>
      <c r="S126" s="71">
        <v>45362.876388888901</v>
      </c>
      <c r="T126" s="72" t="s">
        <v>398</v>
      </c>
      <c r="U126" s="63">
        <v>45454.675694444399</v>
      </c>
      <c r="V126" s="64">
        <v>84</v>
      </c>
    </row>
    <row r="127" spans="1:22" ht="11.25" x14ac:dyDescent="0.2">
      <c r="A127" s="65">
        <v>305667</v>
      </c>
      <c r="B127" s="65" t="s">
        <v>638</v>
      </c>
      <c r="C127" s="66" t="s">
        <v>639</v>
      </c>
      <c r="D127" s="66" t="s">
        <v>1134</v>
      </c>
      <c r="E127" s="67" t="s">
        <v>297</v>
      </c>
      <c r="F127" s="66" t="s">
        <v>298</v>
      </c>
      <c r="G127" s="67" t="s">
        <v>23</v>
      </c>
      <c r="H127" s="65" t="s">
        <v>22</v>
      </c>
      <c r="I127" s="67" t="s">
        <v>24</v>
      </c>
      <c r="J127" s="67" t="s">
        <v>66</v>
      </c>
      <c r="K127" s="67" t="s">
        <v>67</v>
      </c>
      <c r="L127" s="65" t="s">
        <v>36</v>
      </c>
      <c r="M127" s="68" t="s">
        <v>37</v>
      </c>
      <c r="N127" s="68" t="s">
        <v>29</v>
      </c>
      <c r="O127" s="68" t="s">
        <v>30</v>
      </c>
      <c r="P127" s="69">
        <v>45463.4194444444</v>
      </c>
      <c r="Q127" s="70"/>
      <c r="R127" s="70" t="s">
        <v>31</v>
      </c>
      <c r="S127" s="71">
        <v>45364.292361111096</v>
      </c>
      <c r="T127" s="72" t="s">
        <v>85</v>
      </c>
      <c r="U127" s="63">
        <v>45454.675694444399</v>
      </c>
      <c r="V127" s="64">
        <v>84</v>
      </c>
    </row>
    <row r="128" spans="1:22" ht="11.25" x14ac:dyDescent="0.2">
      <c r="A128" s="65">
        <v>305669</v>
      </c>
      <c r="B128" s="65" t="s">
        <v>640</v>
      </c>
      <c r="C128" s="66" t="s">
        <v>641</v>
      </c>
      <c r="D128" s="66" t="s">
        <v>1135</v>
      </c>
      <c r="E128" s="67" t="s">
        <v>396</v>
      </c>
      <c r="F128" s="66" t="s">
        <v>397</v>
      </c>
      <c r="G128" s="67" t="s">
        <v>23</v>
      </c>
      <c r="H128" s="65" t="s">
        <v>22</v>
      </c>
      <c r="I128" s="67" t="s">
        <v>24</v>
      </c>
      <c r="J128" s="67" t="s">
        <v>66</v>
      </c>
      <c r="K128" s="67" t="s">
        <v>67</v>
      </c>
      <c r="L128" s="65" t="s">
        <v>36</v>
      </c>
      <c r="M128" s="68" t="s">
        <v>37</v>
      </c>
      <c r="N128" s="68" t="s">
        <v>29</v>
      </c>
      <c r="O128" s="68" t="s">
        <v>30</v>
      </c>
      <c r="P128" s="69">
        <v>45463.4194444444</v>
      </c>
      <c r="Q128" s="70"/>
      <c r="R128" s="70" t="s">
        <v>31</v>
      </c>
      <c r="S128" s="71">
        <v>45362.868055555598</v>
      </c>
      <c r="T128" s="72" t="s">
        <v>398</v>
      </c>
      <c r="U128" s="63">
        <v>45454.675694444399</v>
      </c>
      <c r="V128" s="64">
        <v>84</v>
      </c>
    </row>
    <row r="129" spans="1:22" ht="11.25" x14ac:dyDescent="0.2">
      <c r="A129" s="65">
        <v>305673</v>
      </c>
      <c r="B129" s="65" t="s">
        <v>642</v>
      </c>
      <c r="C129" s="66" t="s">
        <v>643</v>
      </c>
      <c r="D129" s="66" t="s">
        <v>643</v>
      </c>
      <c r="E129" s="67" t="s">
        <v>223</v>
      </c>
      <c r="F129" s="66" t="s">
        <v>224</v>
      </c>
      <c r="G129" s="67" t="s">
        <v>23</v>
      </c>
      <c r="H129" s="65" t="s">
        <v>34</v>
      </c>
      <c r="I129" s="67" t="s">
        <v>35</v>
      </c>
      <c r="J129" s="67" t="s">
        <v>66</v>
      </c>
      <c r="K129" s="67" t="s">
        <v>67</v>
      </c>
      <c r="L129" s="65" t="s">
        <v>36</v>
      </c>
      <c r="M129" s="68" t="s">
        <v>37</v>
      </c>
      <c r="N129" s="68" t="s">
        <v>29</v>
      </c>
      <c r="O129" s="68" t="s">
        <v>30</v>
      </c>
      <c r="P129" s="69">
        <v>45409.3881944444</v>
      </c>
      <c r="Q129" s="70"/>
      <c r="R129" s="70" t="s">
        <v>31</v>
      </c>
      <c r="S129" s="71">
        <v>45362.848611111098</v>
      </c>
      <c r="T129" s="72" t="s">
        <v>135</v>
      </c>
      <c r="U129" s="63">
        <v>45454.675694444399</v>
      </c>
      <c r="V129" s="64">
        <v>84</v>
      </c>
    </row>
    <row r="130" spans="1:22" ht="11.25" x14ac:dyDescent="0.2">
      <c r="A130" s="65">
        <v>305675</v>
      </c>
      <c r="B130" s="65" t="s">
        <v>644</v>
      </c>
      <c r="C130" s="66" t="s">
        <v>645</v>
      </c>
      <c r="D130" s="66" t="s">
        <v>645</v>
      </c>
      <c r="E130" s="67" t="s">
        <v>141</v>
      </c>
      <c r="F130" s="66" t="s">
        <v>142</v>
      </c>
      <c r="G130" s="67" t="s">
        <v>23</v>
      </c>
      <c r="H130" s="65" t="s">
        <v>179</v>
      </c>
      <c r="I130" s="67" t="s">
        <v>180</v>
      </c>
      <c r="J130" s="67" t="s">
        <v>138</v>
      </c>
      <c r="K130" s="67" t="s">
        <v>139</v>
      </c>
      <c r="L130" s="65" t="s">
        <v>36</v>
      </c>
      <c r="M130" s="68" t="s">
        <v>37</v>
      </c>
      <c r="N130" s="68" t="s">
        <v>29</v>
      </c>
      <c r="O130" s="68" t="s">
        <v>30</v>
      </c>
      <c r="P130" s="69"/>
      <c r="Q130" s="70"/>
      <c r="R130" s="70" t="s">
        <v>31</v>
      </c>
      <c r="S130" s="71">
        <v>45363.522916666698</v>
      </c>
      <c r="T130" s="72" t="s">
        <v>85</v>
      </c>
      <c r="U130" s="63">
        <v>45453.522916666698</v>
      </c>
      <c r="V130" s="64">
        <v>85</v>
      </c>
    </row>
    <row r="131" spans="1:22" ht="11.25" x14ac:dyDescent="0.2">
      <c r="A131" s="65">
        <v>305687</v>
      </c>
      <c r="B131" s="65" t="s">
        <v>1368</v>
      </c>
      <c r="C131" s="66" t="s">
        <v>1369</v>
      </c>
      <c r="D131" s="66" t="s">
        <v>1370</v>
      </c>
      <c r="E131" s="67" t="s">
        <v>1371</v>
      </c>
      <c r="F131" s="66" t="s">
        <v>1372</v>
      </c>
      <c r="G131" s="67" t="s">
        <v>33</v>
      </c>
      <c r="H131" s="65" t="s">
        <v>467</v>
      </c>
      <c r="I131" s="67" t="s">
        <v>468</v>
      </c>
      <c r="J131" s="67" t="s">
        <v>66</v>
      </c>
      <c r="K131" s="67" t="s">
        <v>67</v>
      </c>
      <c r="L131" s="65" t="s">
        <v>36</v>
      </c>
      <c r="M131" s="68" t="s">
        <v>37</v>
      </c>
      <c r="N131" s="68" t="s">
        <v>57</v>
      </c>
      <c r="O131" s="68" t="s">
        <v>58</v>
      </c>
      <c r="P131" s="69">
        <v>45365.359027777798</v>
      </c>
      <c r="Q131" s="70">
        <v>45465.440277777801</v>
      </c>
      <c r="R131" s="70" t="s">
        <v>40</v>
      </c>
      <c r="S131" s="71">
        <v>45350.691666666702</v>
      </c>
      <c r="T131" s="72"/>
      <c r="U131" s="63">
        <v>45364.690972222197</v>
      </c>
      <c r="V131" s="64">
        <v>174</v>
      </c>
    </row>
    <row r="132" spans="1:22" ht="11.25" x14ac:dyDescent="0.2">
      <c r="A132" s="65">
        <v>305694</v>
      </c>
      <c r="B132" s="65" t="s">
        <v>646</v>
      </c>
      <c r="C132" s="66" t="s">
        <v>647</v>
      </c>
      <c r="D132" s="66" t="s">
        <v>648</v>
      </c>
      <c r="E132" s="67" t="s">
        <v>622</v>
      </c>
      <c r="F132" s="66" t="s">
        <v>623</v>
      </c>
      <c r="G132" s="67" t="s">
        <v>23</v>
      </c>
      <c r="H132" s="65" t="s">
        <v>22</v>
      </c>
      <c r="I132" s="67" t="s">
        <v>24</v>
      </c>
      <c r="J132" s="67" t="s">
        <v>649</v>
      </c>
      <c r="K132" s="67" t="s">
        <v>650</v>
      </c>
      <c r="L132" s="65" t="s">
        <v>36</v>
      </c>
      <c r="M132" s="68" t="s">
        <v>37</v>
      </c>
      <c r="N132" s="68" t="s">
        <v>57</v>
      </c>
      <c r="O132" s="68" t="s">
        <v>58</v>
      </c>
      <c r="P132" s="69"/>
      <c r="Q132" s="70"/>
      <c r="R132" s="70" t="s">
        <v>31</v>
      </c>
      <c r="S132" s="71">
        <v>45364.921527777798</v>
      </c>
      <c r="T132" s="72"/>
      <c r="U132" s="63">
        <v>45456.380555555603</v>
      </c>
      <c r="V132" s="64">
        <v>82</v>
      </c>
    </row>
    <row r="133" spans="1:22" ht="11.25" x14ac:dyDescent="0.2">
      <c r="A133" s="65">
        <v>305703</v>
      </c>
      <c r="B133" s="65" t="s">
        <v>651</v>
      </c>
      <c r="C133" s="66" t="s">
        <v>652</v>
      </c>
      <c r="D133" s="66" t="s">
        <v>652</v>
      </c>
      <c r="E133" s="67" t="s">
        <v>445</v>
      </c>
      <c r="F133" s="66" t="s">
        <v>446</v>
      </c>
      <c r="G133" s="67" t="s">
        <v>23</v>
      </c>
      <c r="H133" s="65" t="s">
        <v>179</v>
      </c>
      <c r="I133" s="67" t="s">
        <v>180</v>
      </c>
      <c r="J133" s="67" t="s">
        <v>653</v>
      </c>
      <c r="K133" s="67" t="s">
        <v>654</v>
      </c>
      <c r="L133" s="65" t="s">
        <v>36</v>
      </c>
      <c r="M133" s="68" t="s">
        <v>37</v>
      </c>
      <c r="N133" s="68" t="s">
        <v>29</v>
      </c>
      <c r="O133" s="68" t="s">
        <v>30</v>
      </c>
      <c r="P133" s="69"/>
      <c r="Q133" s="70"/>
      <c r="R133" s="70" t="s">
        <v>31</v>
      </c>
      <c r="S133" s="71">
        <v>45366.431250000001</v>
      </c>
      <c r="T133" s="72" t="s">
        <v>109</v>
      </c>
      <c r="U133" s="63">
        <v>45456.431250000001</v>
      </c>
      <c r="V133" s="64">
        <v>82</v>
      </c>
    </row>
    <row r="134" spans="1:22" ht="11.25" x14ac:dyDescent="0.2">
      <c r="A134" s="65">
        <v>305705</v>
      </c>
      <c r="B134" s="65" t="s">
        <v>655</v>
      </c>
      <c r="C134" s="66" t="s">
        <v>656</v>
      </c>
      <c r="D134" s="66" t="s">
        <v>656</v>
      </c>
      <c r="E134" s="67" t="s">
        <v>105</v>
      </c>
      <c r="F134" s="66" t="s">
        <v>106</v>
      </c>
      <c r="G134" s="67" t="s">
        <v>23</v>
      </c>
      <c r="H134" s="65" t="s">
        <v>34</v>
      </c>
      <c r="I134" s="67" t="s">
        <v>35</v>
      </c>
      <c r="J134" s="67" t="s">
        <v>653</v>
      </c>
      <c r="K134" s="67" t="s">
        <v>654</v>
      </c>
      <c r="L134" s="65" t="s">
        <v>36</v>
      </c>
      <c r="M134" s="68" t="s">
        <v>37</v>
      </c>
      <c r="N134" s="68" t="s">
        <v>83</v>
      </c>
      <c r="O134" s="68" t="s">
        <v>84</v>
      </c>
      <c r="P134" s="69">
        <v>45453.333333333299</v>
      </c>
      <c r="Q134" s="70"/>
      <c r="R134" s="70" t="s">
        <v>31</v>
      </c>
      <c r="S134" s="71">
        <v>45366.449305555601</v>
      </c>
      <c r="T134" s="72" t="s">
        <v>109</v>
      </c>
      <c r="U134" s="63">
        <v>45462.440277777801</v>
      </c>
      <c r="V134" s="64">
        <v>76</v>
      </c>
    </row>
    <row r="135" spans="1:22" ht="11.25" x14ac:dyDescent="0.2">
      <c r="A135" s="65">
        <v>305708</v>
      </c>
      <c r="B135" s="65" t="s">
        <v>657</v>
      </c>
      <c r="C135" s="66" t="s">
        <v>658</v>
      </c>
      <c r="D135" s="66" t="s">
        <v>658</v>
      </c>
      <c r="E135" s="67" t="s">
        <v>659</v>
      </c>
      <c r="F135" s="66" t="s">
        <v>660</v>
      </c>
      <c r="G135" s="67" t="s">
        <v>23</v>
      </c>
      <c r="H135" s="65" t="s">
        <v>22</v>
      </c>
      <c r="I135" s="67" t="s">
        <v>24</v>
      </c>
      <c r="J135" s="67" t="s">
        <v>649</v>
      </c>
      <c r="K135" s="67" t="s">
        <v>650</v>
      </c>
      <c r="L135" s="65" t="s">
        <v>36</v>
      </c>
      <c r="M135" s="68" t="s">
        <v>37</v>
      </c>
      <c r="N135" s="68" t="s">
        <v>29</v>
      </c>
      <c r="O135" s="68" t="s">
        <v>30</v>
      </c>
      <c r="P135" s="69"/>
      <c r="Q135" s="70"/>
      <c r="R135" s="70" t="s">
        <v>47</v>
      </c>
      <c r="S135" s="71">
        <v>45367.8</v>
      </c>
      <c r="T135" s="72" t="s">
        <v>85</v>
      </c>
      <c r="U135" s="63">
        <v>45522.440277777801</v>
      </c>
      <c r="V135" s="64">
        <v>16</v>
      </c>
    </row>
    <row r="136" spans="1:22" ht="11.25" x14ac:dyDescent="0.2">
      <c r="A136" s="65">
        <v>305711</v>
      </c>
      <c r="B136" s="65" t="s">
        <v>661</v>
      </c>
      <c r="C136" s="66" t="s">
        <v>662</v>
      </c>
      <c r="D136" s="66" t="s">
        <v>662</v>
      </c>
      <c r="E136" s="67" t="s">
        <v>117</v>
      </c>
      <c r="F136" s="66" t="s">
        <v>118</v>
      </c>
      <c r="G136" s="67" t="s">
        <v>23</v>
      </c>
      <c r="H136" s="65" t="s">
        <v>22</v>
      </c>
      <c r="I136" s="67" t="s">
        <v>24</v>
      </c>
      <c r="J136" s="67" t="s">
        <v>107</v>
      </c>
      <c r="K136" s="67" t="s">
        <v>108</v>
      </c>
      <c r="L136" s="65" t="s">
        <v>36</v>
      </c>
      <c r="M136" s="68" t="s">
        <v>37</v>
      </c>
      <c r="N136" s="68" t="s">
        <v>29</v>
      </c>
      <c r="O136" s="68" t="s">
        <v>30</v>
      </c>
      <c r="P136" s="69">
        <v>45491.706250000003</v>
      </c>
      <c r="Q136" s="70"/>
      <c r="R136" s="70" t="s">
        <v>31</v>
      </c>
      <c r="S136" s="71">
        <v>45371.520833333299</v>
      </c>
      <c r="T136" s="72" t="s">
        <v>109</v>
      </c>
      <c r="U136" s="63">
        <v>45462.440277777801</v>
      </c>
      <c r="V136" s="64">
        <v>76</v>
      </c>
    </row>
    <row r="137" spans="1:22" ht="11.25" x14ac:dyDescent="0.2">
      <c r="A137" s="65">
        <v>305713</v>
      </c>
      <c r="B137" s="65" t="s">
        <v>663</v>
      </c>
      <c r="C137" s="66" t="s">
        <v>664</v>
      </c>
      <c r="D137" s="66" t="s">
        <v>664</v>
      </c>
      <c r="E137" s="67" t="s">
        <v>60</v>
      </c>
      <c r="F137" s="66" t="s">
        <v>61</v>
      </c>
      <c r="G137" s="67" t="s">
        <v>33</v>
      </c>
      <c r="H137" s="65" t="s">
        <v>34</v>
      </c>
      <c r="I137" s="67" t="s">
        <v>35</v>
      </c>
      <c r="J137" s="67" t="s">
        <v>553</v>
      </c>
      <c r="K137" s="67" t="s">
        <v>554</v>
      </c>
      <c r="L137" s="65" t="s">
        <v>27</v>
      </c>
      <c r="M137" s="68" t="s">
        <v>28</v>
      </c>
      <c r="N137" s="68" t="s">
        <v>29</v>
      </c>
      <c r="O137" s="68" t="s">
        <v>30</v>
      </c>
      <c r="P137" s="69">
        <v>45427.652083333298</v>
      </c>
      <c r="Q137" s="70"/>
      <c r="R137" s="70" t="s">
        <v>31</v>
      </c>
      <c r="S137" s="71">
        <v>45371</v>
      </c>
      <c r="T137" s="72"/>
      <c r="U137" s="63">
        <v>45462.467361111099</v>
      </c>
      <c r="V137" s="64">
        <v>76</v>
      </c>
    </row>
    <row r="138" spans="1:22" ht="11.25" x14ac:dyDescent="0.2">
      <c r="A138" s="65">
        <v>305729</v>
      </c>
      <c r="B138" s="65" t="s">
        <v>665</v>
      </c>
      <c r="C138" s="66" t="s">
        <v>666</v>
      </c>
      <c r="D138" s="66" t="s">
        <v>666</v>
      </c>
      <c r="E138" s="67" t="s">
        <v>622</v>
      </c>
      <c r="F138" s="66" t="s">
        <v>623</v>
      </c>
      <c r="G138" s="67" t="s">
        <v>23</v>
      </c>
      <c r="H138" s="65" t="s">
        <v>34</v>
      </c>
      <c r="I138" s="67" t="s">
        <v>35</v>
      </c>
      <c r="J138" s="67" t="s">
        <v>649</v>
      </c>
      <c r="K138" s="67" t="s">
        <v>650</v>
      </c>
      <c r="L138" s="65" t="s">
        <v>27</v>
      </c>
      <c r="M138" s="68" t="s">
        <v>28</v>
      </c>
      <c r="N138" s="68" t="s">
        <v>29</v>
      </c>
      <c r="O138" s="68" t="s">
        <v>30</v>
      </c>
      <c r="P138" s="69">
        <v>45409.4</v>
      </c>
      <c r="Q138" s="70"/>
      <c r="R138" s="70" t="s">
        <v>31</v>
      </c>
      <c r="S138" s="71">
        <v>45364.922222222202</v>
      </c>
      <c r="T138" s="72" t="s">
        <v>85</v>
      </c>
      <c r="U138" s="63">
        <v>45469.581944444399</v>
      </c>
      <c r="V138" s="64">
        <v>69</v>
      </c>
    </row>
    <row r="139" spans="1:22" ht="11.25" x14ac:dyDescent="0.2">
      <c r="A139" s="65">
        <v>305731</v>
      </c>
      <c r="B139" s="65" t="s">
        <v>667</v>
      </c>
      <c r="C139" s="66" t="s">
        <v>668</v>
      </c>
      <c r="D139" s="66" t="s">
        <v>668</v>
      </c>
      <c r="E139" s="67" t="s">
        <v>136</v>
      </c>
      <c r="F139" s="66" t="s">
        <v>137</v>
      </c>
      <c r="G139" s="67" t="s">
        <v>23</v>
      </c>
      <c r="H139" s="65" t="s">
        <v>179</v>
      </c>
      <c r="I139" s="67" t="s">
        <v>180</v>
      </c>
      <c r="J139" s="67" t="s">
        <v>226</v>
      </c>
      <c r="K139" s="67" t="s">
        <v>227</v>
      </c>
      <c r="L139" s="65" t="s">
        <v>36</v>
      </c>
      <c r="M139" s="68" t="s">
        <v>37</v>
      </c>
      <c r="N139" s="68" t="s">
        <v>29</v>
      </c>
      <c r="O139" s="68" t="s">
        <v>30</v>
      </c>
      <c r="P139" s="69"/>
      <c r="Q139" s="70"/>
      <c r="R139" s="70" t="s">
        <v>31</v>
      </c>
      <c r="S139" s="71">
        <v>45376.378472222197</v>
      </c>
      <c r="T139" s="72" t="s">
        <v>140</v>
      </c>
      <c r="U139" s="63">
        <v>45466.378472222197</v>
      </c>
      <c r="V139" s="64">
        <v>72</v>
      </c>
    </row>
    <row r="140" spans="1:22" ht="11.25" x14ac:dyDescent="0.2">
      <c r="A140" s="65">
        <v>305734</v>
      </c>
      <c r="B140" s="65" t="s">
        <v>669</v>
      </c>
      <c r="C140" s="66" t="s">
        <v>670</v>
      </c>
      <c r="D140" s="66" t="s">
        <v>670</v>
      </c>
      <c r="E140" s="67" t="s">
        <v>183</v>
      </c>
      <c r="F140" s="66" t="s">
        <v>184</v>
      </c>
      <c r="G140" s="67" t="s">
        <v>23</v>
      </c>
      <c r="H140" s="65" t="s">
        <v>179</v>
      </c>
      <c r="I140" s="67" t="s">
        <v>180</v>
      </c>
      <c r="J140" s="67" t="s">
        <v>66</v>
      </c>
      <c r="K140" s="67" t="s">
        <v>67</v>
      </c>
      <c r="L140" s="65" t="s">
        <v>36</v>
      </c>
      <c r="M140" s="68" t="s">
        <v>37</v>
      </c>
      <c r="N140" s="68" t="s">
        <v>201</v>
      </c>
      <c r="O140" s="68" t="s">
        <v>202</v>
      </c>
      <c r="P140" s="69"/>
      <c r="Q140" s="70"/>
      <c r="R140" s="70" t="s">
        <v>31</v>
      </c>
      <c r="S140" s="71">
        <v>45376.403472222199</v>
      </c>
      <c r="T140" s="72" t="s">
        <v>161</v>
      </c>
      <c r="U140" s="63">
        <v>45466.403472222199</v>
      </c>
      <c r="V140" s="64">
        <v>72</v>
      </c>
    </row>
    <row r="141" spans="1:22" ht="11.25" x14ac:dyDescent="0.2">
      <c r="A141" s="65">
        <v>305742</v>
      </c>
      <c r="B141" s="65" t="s">
        <v>675</v>
      </c>
      <c r="C141" s="66" t="s">
        <v>676</v>
      </c>
      <c r="D141" s="66" t="s">
        <v>676</v>
      </c>
      <c r="E141" s="67" t="s">
        <v>608</v>
      </c>
      <c r="F141" s="66" t="s">
        <v>609</v>
      </c>
      <c r="G141" s="67" t="s">
        <v>23</v>
      </c>
      <c r="H141" s="65" t="s">
        <v>179</v>
      </c>
      <c r="I141" s="67" t="s">
        <v>180</v>
      </c>
      <c r="J141" s="67" t="s">
        <v>66</v>
      </c>
      <c r="K141" s="67" t="s">
        <v>67</v>
      </c>
      <c r="L141" s="65" t="s">
        <v>36</v>
      </c>
      <c r="M141" s="68" t="s">
        <v>37</v>
      </c>
      <c r="N141" s="68" t="s">
        <v>90</v>
      </c>
      <c r="O141" s="68" t="s">
        <v>91</v>
      </c>
      <c r="P141" s="69"/>
      <c r="Q141" s="70"/>
      <c r="R141" s="70" t="s">
        <v>31</v>
      </c>
      <c r="S141" s="71">
        <v>45378.624305555597</v>
      </c>
      <c r="T141" s="72" t="s">
        <v>80</v>
      </c>
      <c r="U141" s="63">
        <v>45468.624305555597</v>
      </c>
      <c r="V141" s="64">
        <v>70</v>
      </c>
    </row>
    <row r="142" spans="1:22" ht="11.25" x14ac:dyDescent="0.2">
      <c r="A142" s="65">
        <v>305744</v>
      </c>
      <c r="B142" s="65" t="s">
        <v>677</v>
      </c>
      <c r="C142" s="66" t="s">
        <v>678</v>
      </c>
      <c r="D142" s="66" t="s">
        <v>678</v>
      </c>
      <c r="E142" s="67" t="s">
        <v>183</v>
      </c>
      <c r="F142" s="66" t="s">
        <v>184</v>
      </c>
      <c r="G142" s="67" t="s">
        <v>23</v>
      </c>
      <c r="H142" s="65" t="s">
        <v>179</v>
      </c>
      <c r="I142" s="67" t="s">
        <v>180</v>
      </c>
      <c r="J142" s="67" t="s">
        <v>66</v>
      </c>
      <c r="K142" s="67" t="s">
        <v>67</v>
      </c>
      <c r="L142" s="65" t="s">
        <v>36</v>
      </c>
      <c r="M142" s="68" t="s">
        <v>37</v>
      </c>
      <c r="N142" s="68" t="s">
        <v>201</v>
      </c>
      <c r="O142" s="68" t="s">
        <v>202</v>
      </c>
      <c r="P142" s="69"/>
      <c r="Q142" s="70"/>
      <c r="R142" s="70" t="s">
        <v>31</v>
      </c>
      <c r="S142" s="71">
        <v>45376.4</v>
      </c>
      <c r="T142" s="72" t="s">
        <v>161</v>
      </c>
      <c r="U142" s="63">
        <v>45466.400000000001</v>
      </c>
      <c r="V142" s="64">
        <v>72</v>
      </c>
    </row>
    <row r="143" spans="1:22" ht="11.25" x14ac:dyDescent="0.2">
      <c r="A143" s="65">
        <v>305748</v>
      </c>
      <c r="B143" s="65" t="s">
        <v>679</v>
      </c>
      <c r="C143" s="66" t="s">
        <v>680</v>
      </c>
      <c r="D143" s="66" t="s">
        <v>680</v>
      </c>
      <c r="E143" s="67" t="s">
        <v>568</v>
      </c>
      <c r="F143" s="66" t="s">
        <v>569</v>
      </c>
      <c r="G143" s="67" t="s">
        <v>33</v>
      </c>
      <c r="H143" s="65" t="s">
        <v>34</v>
      </c>
      <c r="I143" s="67" t="s">
        <v>35</v>
      </c>
      <c r="J143" s="67" t="s">
        <v>66</v>
      </c>
      <c r="K143" s="67" t="s">
        <v>67</v>
      </c>
      <c r="L143" s="65" t="s">
        <v>36</v>
      </c>
      <c r="M143" s="68" t="s">
        <v>37</v>
      </c>
      <c r="N143" s="68" t="s">
        <v>76</v>
      </c>
      <c r="O143" s="68" t="s">
        <v>77</v>
      </c>
      <c r="P143" s="69">
        <v>45523.401388888902</v>
      </c>
      <c r="Q143" s="70"/>
      <c r="R143" s="70" t="s">
        <v>31</v>
      </c>
      <c r="S143" s="71">
        <v>45374.820833333302</v>
      </c>
      <c r="T143" s="72" t="s">
        <v>570</v>
      </c>
      <c r="U143" s="63">
        <v>45469.581944444399</v>
      </c>
      <c r="V143" s="64">
        <v>69</v>
      </c>
    </row>
    <row r="144" spans="1:22" ht="11.25" x14ac:dyDescent="0.2">
      <c r="A144" s="65">
        <v>305749</v>
      </c>
      <c r="B144" s="65" t="s">
        <v>681</v>
      </c>
      <c r="C144" s="66" t="s">
        <v>682</v>
      </c>
      <c r="D144" s="66" t="s">
        <v>683</v>
      </c>
      <c r="E144" s="67" t="s">
        <v>549</v>
      </c>
      <c r="F144" s="66" t="s">
        <v>550</v>
      </c>
      <c r="G144" s="67" t="s">
        <v>33</v>
      </c>
      <c r="H144" s="65" t="s">
        <v>34</v>
      </c>
      <c r="I144" s="67" t="s">
        <v>35</v>
      </c>
      <c r="J144" s="67" t="s">
        <v>66</v>
      </c>
      <c r="K144" s="67" t="s">
        <v>67</v>
      </c>
      <c r="L144" s="65" t="s">
        <v>36</v>
      </c>
      <c r="M144" s="68" t="s">
        <v>37</v>
      </c>
      <c r="N144" s="68" t="s">
        <v>76</v>
      </c>
      <c r="O144" s="68" t="s">
        <v>77</v>
      </c>
      <c r="P144" s="69">
        <v>45523.401388888902</v>
      </c>
      <c r="Q144" s="70"/>
      <c r="R144" s="70" t="s">
        <v>31</v>
      </c>
      <c r="S144" s="71">
        <v>45374.822916666701</v>
      </c>
      <c r="T144" s="72" t="s">
        <v>167</v>
      </c>
      <c r="U144" s="63">
        <v>45469.581944444399</v>
      </c>
      <c r="V144" s="64">
        <v>69</v>
      </c>
    </row>
    <row r="145" spans="1:22" ht="11.25" x14ac:dyDescent="0.2">
      <c r="A145" s="65">
        <v>305750</v>
      </c>
      <c r="B145" s="65" t="s">
        <v>684</v>
      </c>
      <c r="C145" s="66" t="s">
        <v>685</v>
      </c>
      <c r="D145" s="66" t="s">
        <v>685</v>
      </c>
      <c r="E145" s="67" t="s">
        <v>69</v>
      </c>
      <c r="F145" s="66" t="s">
        <v>70</v>
      </c>
      <c r="G145" s="67" t="s">
        <v>33</v>
      </c>
      <c r="H145" s="65" t="s">
        <v>34</v>
      </c>
      <c r="I145" s="67" t="s">
        <v>35</v>
      </c>
      <c r="J145" s="67" t="s">
        <v>66</v>
      </c>
      <c r="K145" s="67" t="s">
        <v>67</v>
      </c>
      <c r="L145" s="65" t="s">
        <v>36</v>
      </c>
      <c r="M145" s="68" t="s">
        <v>37</v>
      </c>
      <c r="N145" s="68" t="s">
        <v>76</v>
      </c>
      <c r="O145" s="68" t="s">
        <v>77</v>
      </c>
      <c r="P145" s="69">
        <v>45523.402083333298</v>
      </c>
      <c r="Q145" s="70"/>
      <c r="R145" s="70" t="s">
        <v>31</v>
      </c>
      <c r="S145" s="71">
        <v>45374.824999999997</v>
      </c>
      <c r="T145" s="72" t="s">
        <v>41</v>
      </c>
      <c r="U145" s="63">
        <v>45469.581944444399</v>
      </c>
      <c r="V145" s="64">
        <v>69</v>
      </c>
    </row>
    <row r="146" spans="1:22" ht="11.25" x14ac:dyDescent="0.2">
      <c r="A146" s="65">
        <v>305751</v>
      </c>
      <c r="B146" s="65" t="s">
        <v>686</v>
      </c>
      <c r="C146" s="66" t="s">
        <v>687</v>
      </c>
      <c r="D146" s="66" t="s">
        <v>687</v>
      </c>
      <c r="E146" s="67" t="s">
        <v>688</v>
      </c>
      <c r="F146" s="66" t="s">
        <v>689</v>
      </c>
      <c r="G146" s="67" t="s">
        <v>33</v>
      </c>
      <c r="H146" s="65" t="s">
        <v>34</v>
      </c>
      <c r="I146" s="67" t="s">
        <v>35</v>
      </c>
      <c r="J146" s="67" t="s">
        <v>66</v>
      </c>
      <c r="K146" s="67" t="s">
        <v>67</v>
      </c>
      <c r="L146" s="65" t="s">
        <v>36</v>
      </c>
      <c r="M146" s="68" t="s">
        <v>37</v>
      </c>
      <c r="N146" s="68" t="s">
        <v>76</v>
      </c>
      <c r="O146" s="68" t="s">
        <v>77</v>
      </c>
      <c r="P146" s="69">
        <v>45523.402777777803</v>
      </c>
      <c r="Q146" s="70"/>
      <c r="R146" s="70" t="s">
        <v>31</v>
      </c>
      <c r="S146" s="71">
        <v>45374.8305555556</v>
      </c>
      <c r="T146" s="72" t="s">
        <v>167</v>
      </c>
      <c r="U146" s="63">
        <v>45469.581944444399</v>
      </c>
      <c r="V146" s="64">
        <v>69</v>
      </c>
    </row>
    <row r="147" spans="1:22" ht="11.25" x14ac:dyDescent="0.2">
      <c r="A147" s="65">
        <v>305752</v>
      </c>
      <c r="B147" s="65" t="s">
        <v>690</v>
      </c>
      <c r="C147" s="66" t="s">
        <v>691</v>
      </c>
      <c r="D147" s="66" t="s">
        <v>691</v>
      </c>
      <c r="E147" s="67" t="s">
        <v>219</v>
      </c>
      <c r="F147" s="66" t="s">
        <v>220</v>
      </c>
      <c r="G147" s="67" t="s">
        <v>33</v>
      </c>
      <c r="H147" s="65" t="s">
        <v>34</v>
      </c>
      <c r="I147" s="67" t="s">
        <v>35</v>
      </c>
      <c r="J147" s="67" t="s">
        <v>71</v>
      </c>
      <c r="K147" s="67" t="s">
        <v>72</v>
      </c>
      <c r="L147" s="65" t="s">
        <v>36</v>
      </c>
      <c r="M147" s="68" t="s">
        <v>37</v>
      </c>
      <c r="N147" s="68" t="s">
        <v>76</v>
      </c>
      <c r="O147" s="68" t="s">
        <v>77</v>
      </c>
      <c r="P147" s="69">
        <v>45475.354166666701</v>
      </c>
      <c r="Q147" s="70"/>
      <c r="R147" s="70" t="s">
        <v>31</v>
      </c>
      <c r="S147" s="71">
        <v>45376.488194444399</v>
      </c>
      <c r="T147" s="72" t="s">
        <v>221</v>
      </c>
      <c r="U147" s="63">
        <v>45469.581944444399</v>
      </c>
      <c r="V147" s="64">
        <v>69</v>
      </c>
    </row>
    <row r="148" spans="1:22" ht="11.25" x14ac:dyDescent="0.2">
      <c r="A148" s="65">
        <v>305755</v>
      </c>
      <c r="B148" s="65" t="s">
        <v>692</v>
      </c>
      <c r="C148" s="66" t="s">
        <v>693</v>
      </c>
      <c r="D148" s="66" t="s">
        <v>693</v>
      </c>
      <c r="E148" s="67" t="s">
        <v>314</v>
      </c>
      <c r="F148" s="66" t="s">
        <v>315</v>
      </c>
      <c r="G148" s="67" t="s">
        <v>33</v>
      </c>
      <c r="H148" s="65" t="s">
        <v>179</v>
      </c>
      <c r="I148" s="67" t="s">
        <v>180</v>
      </c>
      <c r="J148" s="67" t="s">
        <v>66</v>
      </c>
      <c r="K148" s="67" t="s">
        <v>67</v>
      </c>
      <c r="L148" s="65" t="s">
        <v>36</v>
      </c>
      <c r="M148" s="68" t="s">
        <v>37</v>
      </c>
      <c r="N148" s="68" t="s">
        <v>76</v>
      </c>
      <c r="O148" s="68" t="s">
        <v>77</v>
      </c>
      <c r="P148" s="69"/>
      <c r="Q148" s="70"/>
      <c r="R148" s="70" t="s">
        <v>31</v>
      </c>
      <c r="S148" s="71">
        <v>45376.343055555597</v>
      </c>
      <c r="T148" s="72" t="s">
        <v>240</v>
      </c>
      <c r="U148" s="63">
        <v>45466.343055555597</v>
      </c>
      <c r="V148" s="64">
        <v>72</v>
      </c>
    </row>
    <row r="149" spans="1:22" ht="11.25" x14ac:dyDescent="0.2">
      <c r="A149" s="65">
        <v>305757</v>
      </c>
      <c r="B149" s="65" t="s">
        <v>694</v>
      </c>
      <c r="C149" s="66" t="s">
        <v>1786</v>
      </c>
      <c r="D149" s="66" t="s">
        <v>1786</v>
      </c>
      <c r="E149" s="67" t="s">
        <v>695</v>
      </c>
      <c r="F149" s="66" t="s">
        <v>696</v>
      </c>
      <c r="G149" s="67" t="s">
        <v>33</v>
      </c>
      <c r="H149" s="65" t="s">
        <v>49</v>
      </c>
      <c r="I149" s="67" t="s">
        <v>50</v>
      </c>
      <c r="J149" s="67" t="s">
        <v>66</v>
      </c>
      <c r="K149" s="67" t="s">
        <v>67</v>
      </c>
      <c r="L149" s="65" t="s">
        <v>36</v>
      </c>
      <c r="M149" s="68" t="s">
        <v>37</v>
      </c>
      <c r="N149" s="68" t="s">
        <v>76</v>
      </c>
      <c r="O149" s="68" t="s">
        <v>77</v>
      </c>
      <c r="P149" s="69">
        <v>45533.445833333302</v>
      </c>
      <c r="Q149" s="70"/>
      <c r="R149" s="70" t="s">
        <v>31</v>
      </c>
      <c r="S149" s="71">
        <v>45376.35</v>
      </c>
      <c r="T149" s="72" t="s">
        <v>154</v>
      </c>
      <c r="U149" s="63">
        <v>45469.581944444399</v>
      </c>
      <c r="V149" s="64">
        <v>69</v>
      </c>
    </row>
    <row r="150" spans="1:22" ht="11.25" x14ac:dyDescent="0.2">
      <c r="A150" s="65">
        <v>305758</v>
      </c>
      <c r="B150" s="65" t="s">
        <v>697</v>
      </c>
      <c r="C150" s="66" t="s">
        <v>1787</v>
      </c>
      <c r="D150" s="66" t="s">
        <v>1787</v>
      </c>
      <c r="E150" s="67" t="s">
        <v>698</v>
      </c>
      <c r="F150" s="66" t="s">
        <v>699</v>
      </c>
      <c r="G150" s="67" t="s">
        <v>33</v>
      </c>
      <c r="H150" s="65" t="s">
        <v>49</v>
      </c>
      <c r="I150" s="67" t="s">
        <v>50</v>
      </c>
      <c r="J150" s="67" t="s">
        <v>66</v>
      </c>
      <c r="K150" s="67" t="s">
        <v>67</v>
      </c>
      <c r="L150" s="65" t="s">
        <v>36</v>
      </c>
      <c r="M150" s="68" t="s">
        <v>37</v>
      </c>
      <c r="N150" s="68" t="s">
        <v>76</v>
      </c>
      <c r="O150" s="68" t="s">
        <v>77</v>
      </c>
      <c r="P150" s="69">
        <v>45534.444444444402</v>
      </c>
      <c r="Q150" s="70"/>
      <c r="R150" s="70" t="s">
        <v>31</v>
      </c>
      <c r="S150" s="71">
        <v>45376.351388888899</v>
      </c>
      <c r="T150" s="72" t="s">
        <v>154</v>
      </c>
      <c r="U150" s="63">
        <v>45466.351388888899</v>
      </c>
      <c r="V150" s="64">
        <v>72</v>
      </c>
    </row>
    <row r="151" spans="1:22" ht="11.25" x14ac:dyDescent="0.2">
      <c r="A151" s="65">
        <v>305759</v>
      </c>
      <c r="B151" s="65" t="s">
        <v>700</v>
      </c>
      <c r="C151" s="66" t="s">
        <v>1788</v>
      </c>
      <c r="D151" s="66" t="s">
        <v>1788</v>
      </c>
      <c r="E151" s="67" t="s">
        <v>701</v>
      </c>
      <c r="F151" s="66" t="s">
        <v>702</v>
      </c>
      <c r="G151" s="67" t="s">
        <v>33</v>
      </c>
      <c r="H151" s="65" t="s">
        <v>49</v>
      </c>
      <c r="I151" s="67" t="s">
        <v>50</v>
      </c>
      <c r="J151" s="67" t="s">
        <v>66</v>
      </c>
      <c r="K151" s="67" t="s">
        <v>67</v>
      </c>
      <c r="L151" s="65" t="s">
        <v>36</v>
      </c>
      <c r="M151" s="68" t="s">
        <v>37</v>
      </c>
      <c r="N151" s="68" t="s">
        <v>76</v>
      </c>
      <c r="O151" s="68" t="s">
        <v>77</v>
      </c>
      <c r="P151" s="69">
        <v>45534.440972222197</v>
      </c>
      <c r="Q151" s="70"/>
      <c r="R151" s="70" t="s">
        <v>31</v>
      </c>
      <c r="S151" s="71">
        <v>45376.368750000001</v>
      </c>
      <c r="T151" s="72" t="s">
        <v>154</v>
      </c>
      <c r="U151" s="63">
        <v>45466.368750000001</v>
      </c>
      <c r="V151" s="64">
        <v>72</v>
      </c>
    </row>
    <row r="152" spans="1:22" ht="11.25" x14ac:dyDescent="0.2">
      <c r="A152" s="65">
        <v>305761</v>
      </c>
      <c r="B152" s="65" t="s">
        <v>703</v>
      </c>
      <c r="C152" s="66" t="s">
        <v>704</v>
      </c>
      <c r="D152" s="66" t="s">
        <v>704</v>
      </c>
      <c r="E152" s="67" t="s">
        <v>69</v>
      </c>
      <c r="F152" s="66" t="s">
        <v>70</v>
      </c>
      <c r="G152" s="67" t="s">
        <v>33</v>
      </c>
      <c r="H152" s="65" t="s">
        <v>34</v>
      </c>
      <c r="I152" s="67" t="s">
        <v>35</v>
      </c>
      <c r="J152" s="67" t="s">
        <v>66</v>
      </c>
      <c r="K152" s="67" t="s">
        <v>67</v>
      </c>
      <c r="L152" s="65" t="s">
        <v>36</v>
      </c>
      <c r="M152" s="68" t="s">
        <v>37</v>
      </c>
      <c r="N152" s="68" t="s">
        <v>76</v>
      </c>
      <c r="O152" s="68" t="s">
        <v>77</v>
      </c>
      <c r="P152" s="69">
        <v>45523.408333333296</v>
      </c>
      <c r="Q152" s="70"/>
      <c r="R152" s="70" t="s">
        <v>31</v>
      </c>
      <c r="S152" s="71">
        <v>45374.831944444399</v>
      </c>
      <c r="T152" s="72" t="s">
        <v>41</v>
      </c>
      <c r="U152" s="63">
        <v>45469.581944444399</v>
      </c>
      <c r="V152" s="64">
        <v>69</v>
      </c>
    </row>
    <row r="153" spans="1:22" ht="11.25" x14ac:dyDescent="0.2">
      <c r="A153" s="65">
        <v>305770</v>
      </c>
      <c r="B153" s="65" t="s">
        <v>675</v>
      </c>
      <c r="C153" s="66" t="s">
        <v>676</v>
      </c>
      <c r="D153" s="66" t="s">
        <v>705</v>
      </c>
      <c r="E153" s="67" t="s">
        <v>608</v>
      </c>
      <c r="F153" s="66" t="s">
        <v>609</v>
      </c>
      <c r="G153" s="67" t="s">
        <v>23</v>
      </c>
      <c r="H153" s="65" t="s">
        <v>179</v>
      </c>
      <c r="I153" s="67" t="s">
        <v>180</v>
      </c>
      <c r="J153" s="67" t="s">
        <v>66</v>
      </c>
      <c r="K153" s="67" t="s">
        <v>67</v>
      </c>
      <c r="L153" s="65" t="s">
        <v>36</v>
      </c>
      <c r="M153" s="68" t="s">
        <v>37</v>
      </c>
      <c r="N153" s="68" t="s">
        <v>90</v>
      </c>
      <c r="O153" s="68" t="s">
        <v>91</v>
      </c>
      <c r="P153" s="69">
        <v>45384.592361111099</v>
      </c>
      <c r="Q153" s="70"/>
      <c r="R153" s="70" t="s">
        <v>40</v>
      </c>
      <c r="S153" s="71">
        <v>45378.591666666704</v>
      </c>
      <c r="T153" s="72"/>
      <c r="U153" s="63">
        <v>45383.590277777803</v>
      </c>
      <c r="V153" s="64">
        <v>155</v>
      </c>
    </row>
    <row r="154" spans="1:22" ht="11.25" x14ac:dyDescent="0.2">
      <c r="A154" s="65">
        <v>305780</v>
      </c>
      <c r="B154" s="65" t="s">
        <v>706</v>
      </c>
      <c r="C154" s="66" t="s">
        <v>707</v>
      </c>
      <c r="D154" s="66" t="s">
        <v>707</v>
      </c>
      <c r="E154" s="67" t="s">
        <v>159</v>
      </c>
      <c r="F154" s="66" t="s">
        <v>160</v>
      </c>
      <c r="G154" s="67" t="s">
        <v>23</v>
      </c>
      <c r="H154" s="65" t="s">
        <v>34</v>
      </c>
      <c r="I154" s="67" t="s">
        <v>35</v>
      </c>
      <c r="J154" s="67" t="s">
        <v>121</v>
      </c>
      <c r="K154" s="67" t="s">
        <v>122</v>
      </c>
      <c r="L154" s="65" t="s">
        <v>36</v>
      </c>
      <c r="M154" s="68" t="s">
        <v>37</v>
      </c>
      <c r="N154" s="68" t="s">
        <v>29</v>
      </c>
      <c r="O154" s="68" t="s">
        <v>30</v>
      </c>
      <c r="P154" s="69">
        <v>45457.486111111102</v>
      </c>
      <c r="Q154" s="70"/>
      <c r="R154" s="70" t="s">
        <v>31</v>
      </c>
      <c r="S154" s="71">
        <v>45378.3569444444</v>
      </c>
      <c r="T154" s="72" t="s">
        <v>161</v>
      </c>
      <c r="U154" s="63">
        <v>45468.3569444444</v>
      </c>
      <c r="V154" s="64">
        <v>70</v>
      </c>
    </row>
    <row r="155" spans="1:22" ht="11.25" x14ac:dyDescent="0.2">
      <c r="A155" s="65">
        <v>305787</v>
      </c>
      <c r="B155" s="65" t="s">
        <v>708</v>
      </c>
      <c r="C155" s="66" t="s">
        <v>709</v>
      </c>
      <c r="D155" s="66" t="s">
        <v>709</v>
      </c>
      <c r="E155" s="67" t="s">
        <v>159</v>
      </c>
      <c r="F155" s="66" t="s">
        <v>160</v>
      </c>
      <c r="G155" s="67" t="s">
        <v>23</v>
      </c>
      <c r="H155" s="65" t="s">
        <v>22</v>
      </c>
      <c r="I155" s="67" t="s">
        <v>24</v>
      </c>
      <c r="J155" s="67" t="s">
        <v>121</v>
      </c>
      <c r="K155" s="67" t="s">
        <v>122</v>
      </c>
      <c r="L155" s="65" t="s">
        <v>36</v>
      </c>
      <c r="M155" s="68" t="s">
        <v>37</v>
      </c>
      <c r="N155" s="68" t="s">
        <v>76</v>
      </c>
      <c r="O155" s="68" t="s">
        <v>77</v>
      </c>
      <c r="P155" s="69">
        <v>45460.333333333299</v>
      </c>
      <c r="Q155" s="70"/>
      <c r="R155" s="70" t="s">
        <v>31</v>
      </c>
      <c r="S155" s="71">
        <v>45378.507638888899</v>
      </c>
      <c r="T155" s="72" t="s">
        <v>161</v>
      </c>
      <c r="U155" s="63">
        <v>45476.447222222203</v>
      </c>
      <c r="V155" s="64">
        <v>62</v>
      </c>
    </row>
    <row r="156" spans="1:22" ht="11.25" x14ac:dyDescent="0.2">
      <c r="A156" s="65">
        <v>305790</v>
      </c>
      <c r="B156" s="65" t="s">
        <v>710</v>
      </c>
      <c r="C156" s="66" t="s">
        <v>711</v>
      </c>
      <c r="D156" s="66" t="s">
        <v>711</v>
      </c>
      <c r="E156" s="67" t="s">
        <v>372</v>
      </c>
      <c r="F156" s="66" t="s">
        <v>373</v>
      </c>
      <c r="G156" s="67" t="s">
        <v>23</v>
      </c>
      <c r="H156" s="65" t="s">
        <v>34</v>
      </c>
      <c r="I156" s="67" t="s">
        <v>35</v>
      </c>
      <c r="J156" s="67" t="s">
        <v>649</v>
      </c>
      <c r="K156" s="67" t="s">
        <v>650</v>
      </c>
      <c r="L156" s="65" t="s">
        <v>36</v>
      </c>
      <c r="M156" s="68" t="s">
        <v>37</v>
      </c>
      <c r="N156" s="68" t="s">
        <v>29</v>
      </c>
      <c r="O156" s="68" t="s">
        <v>30</v>
      </c>
      <c r="P156" s="69">
        <v>45442.409722222197</v>
      </c>
      <c r="Q156" s="70"/>
      <c r="R156" s="70" t="s">
        <v>31</v>
      </c>
      <c r="S156" s="71">
        <v>45378.807638888902</v>
      </c>
      <c r="T156" s="72" t="s">
        <v>85</v>
      </c>
      <c r="U156" s="63">
        <v>45476.447222222203</v>
      </c>
      <c r="V156" s="64">
        <v>62</v>
      </c>
    </row>
    <row r="157" spans="1:22" ht="11.25" x14ac:dyDescent="0.2">
      <c r="A157" s="65">
        <v>305792</v>
      </c>
      <c r="B157" s="65" t="s">
        <v>712</v>
      </c>
      <c r="C157" s="66" t="s">
        <v>713</v>
      </c>
      <c r="D157" s="66" t="s">
        <v>713</v>
      </c>
      <c r="E157" s="67" t="s">
        <v>191</v>
      </c>
      <c r="F157" s="66" t="s">
        <v>192</v>
      </c>
      <c r="G157" s="67" t="s">
        <v>23</v>
      </c>
      <c r="H157" s="65" t="s">
        <v>34</v>
      </c>
      <c r="I157" s="67" t="s">
        <v>35</v>
      </c>
      <c r="J157" s="67" t="s">
        <v>121</v>
      </c>
      <c r="K157" s="67" t="s">
        <v>122</v>
      </c>
      <c r="L157" s="65" t="s">
        <v>36</v>
      </c>
      <c r="M157" s="68" t="s">
        <v>37</v>
      </c>
      <c r="N157" s="68" t="s">
        <v>51</v>
      </c>
      <c r="O157" s="68" t="s">
        <v>52</v>
      </c>
      <c r="P157" s="69">
        <v>45449.5402777778</v>
      </c>
      <c r="Q157" s="70"/>
      <c r="R157" s="70" t="s">
        <v>31</v>
      </c>
      <c r="S157" s="71">
        <v>45378.484027777798</v>
      </c>
      <c r="T157" s="72" t="s">
        <v>193</v>
      </c>
      <c r="U157" s="63">
        <v>45476.447222222203</v>
      </c>
      <c r="V157" s="64">
        <v>62</v>
      </c>
    </row>
    <row r="158" spans="1:22" ht="11.25" x14ac:dyDescent="0.2">
      <c r="A158" s="65">
        <v>305794</v>
      </c>
      <c r="B158" s="65" t="s">
        <v>714</v>
      </c>
      <c r="C158" s="66" t="s">
        <v>715</v>
      </c>
      <c r="D158" s="66" t="s">
        <v>715</v>
      </c>
      <c r="E158" s="67" t="s">
        <v>716</v>
      </c>
      <c r="F158" s="66" t="s">
        <v>717</v>
      </c>
      <c r="G158" s="67" t="s">
        <v>23</v>
      </c>
      <c r="H158" s="65" t="s">
        <v>34</v>
      </c>
      <c r="I158" s="67" t="s">
        <v>35</v>
      </c>
      <c r="J158" s="67" t="s">
        <v>25</v>
      </c>
      <c r="K158" s="67" t="s">
        <v>26</v>
      </c>
      <c r="L158" s="65" t="s">
        <v>36</v>
      </c>
      <c r="M158" s="68" t="s">
        <v>37</v>
      </c>
      <c r="N158" s="68" t="s">
        <v>83</v>
      </c>
      <c r="O158" s="68" t="s">
        <v>84</v>
      </c>
      <c r="P158" s="69">
        <v>45412.434722222199</v>
      </c>
      <c r="Q158" s="70"/>
      <c r="R158" s="70" t="s">
        <v>31</v>
      </c>
      <c r="S158" s="71">
        <v>45377.957638888904</v>
      </c>
      <c r="T158" s="72" t="s">
        <v>333</v>
      </c>
      <c r="U158" s="63">
        <v>45476.447222222203</v>
      </c>
      <c r="V158" s="64">
        <v>62</v>
      </c>
    </row>
    <row r="159" spans="1:22" ht="11.25" x14ac:dyDescent="0.2">
      <c r="A159" s="65">
        <v>305795</v>
      </c>
      <c r="B159" s="65" t="s">
        <v>718</v>
      </c>
      <c r="C159" s="66" t="s">
        <v>719</v>
      </c>
      <c r="D159" s="66" t="s">
        <v>719</v>
      </c>
      <c r="E159" s="67" t="s">
        <v>514</v>
      </c>
      <c r="F159" s="66" t="s">
        <v>515</v>
      </c>
      <c r="G159" s="67" t="s">
        <v>23</v>
      </c>
      <c r="H159" s="65" t="s">
        <v>34</v>
      </c>
      <c r="I159" s="67" t="s">
        <v>35</v>
      </c>
      <c r="J159" s="67" t="s">
        <v>128</v>
      </c>
      <c r="K159" s="67" t="s">
        <v>129</v>
      </c>
      <c r="L159" s="65" t="s">
        <v>36</v>
      </c>
      <c r="M159" s="68" t="s">
        <v>37</v>
      </c>
      <c r="N159" s="68" t="s">
        <v>83</v>
      </c>
      <c r="O159" s="68" t="s">
        <v>84</v>
      </c>
      <c r="P159" s="69">
        <v>45422.403472222199</v>
      </c>
      <c r="Q159" s="70"/>
      <c r="R159" s="70" t="s">
        <v>31</v>
      </c>
      <c r="S159" s="71">
        <v>45377.918055555601</v>
      </c>
      <c r="T159" s="72" t="s">
        <v>116</v>
      </c>
      <c r="U159" s="63">
        <v>45476.447222222203</v>
      </c>
      <c r="V159" s="64">
        <v>62</v>
      </c>
    </row>
    <row r="160" spans="1:22" ht="11.25" x14ac:dyDescent="0.2">
      <c r="A160" s="65">
        <v>305796</v>
      </c>
      <c r="B160" s="65" t="s">
        <v>720</v>
      </c>
      <c r="C160" s="66" t="s">
        <v>721</v>
      </c>
      <c r="D160" s="66" t="s">
        <v>721</v>
      </c>
      <c r="E160" s="67" t="s">
        <v>722</v>
      </c>
      <c r="F160" s="66" t="s">
        <v>723</v>
      </c>
      <c r="G160" s="67" t="s">
        <v>23</v>
      </c>
      <c r="H160" s="65" t="s">
        <v>49</v>
      </c>
      <c r="I160" s="67" t="s">
        <v>50</v>
      </c>
      <c r="J160" s="67" t="s">
        <v>128</v>
      </c>
      <c r="K160" s="67" t="s">
        <v>129</v>
      </c>
      <c r="L160" s="65" t="s">
        <v>36</v>
      </c>
      <c r="M160" s="68" t="s">
        <v>37</v>
      </c>
      <c r="N160" s="68" t="s">
        <v>57</v>
      </c>
      <c r="O160" s="68" t="s">
        <v>58</v>
      </c>
      <c r="P160" s="69">
        <v>45505.327083333301</v>
      </c>
      <c r="Q160" s="70"/>
      <c r="R160" s="70" t="s">
        <v>31</v>
      </c>
      <c r="S160" s="71">
        <v>45377.927083333299</v>
      </c>
      <c r="T160" s="72" t="s">
        <v>116</v>
      </c>
      <c r="U160" s="63">
        <v>45476.447222222203</v>
      </c>
      <c r="V160" s="64">
        <v>62</v>
      </c>
    </row>
    <row r="161" spans="1:22" ht="11.25" x14ac:dyDescent="0.2">
      <c r="A161" s="65">
        <v>305798</v>
      </c>
      <c r="B161" s="65" t="s">
        <v>724</v>
      </c>
      <c r="C161" s="66" t="s">
        <v>725</v>
      </c>
      <c r="D161" s="66" t="s">
        <v>725</v>
      </c>
      <c r="E161" s="67" t="s">
        <v>578</v>
      </c>
      <c r="F161" s="66" t="s">
        <v>579</v>
      </c>
      <c r="G161" s="67" t="s">
        <v>23</v>
      </c>
      <c r="H161" s="65" t="s">
        <v>34</v>
      </c>
      <c r="I161" s="67" t="s">
        <v>35</v>
      </c>
      <c r="J161" s="67" t="s">
        <v>25</v>
      </c>
      <c r="K161" s="67" t="s">
        <v>26</v>
      </c>
      <c r="L161" s="65" t="s">
        <v>36</v>
      </c>
      <c r="M161" s="68" t="s">
        <v>37</v>
      </c>
      <c r="N161" s="68" t="s">
        <v>29</v>
      </c>
      <c r="O161" s="68" t="s">
        <v>30</v>
      </c>
      <c r="P161" s="69">
        <v>45418.5715277778</v>
      </c>
      <c r="Q161" s="70"/>
      <c r="R161" s="70" t="s">
        <v>31</v>
      </c>
      <c r="S161" s="71">
        <v>45378.000694444403</v>
      </c>
      <c r="T161" s="72" t="s">
        <v>80</v>
      </c>
      <c r="U161" s="63">
        <v>45476.447222222203</v>
      </c>
      <c r="V161" s="64">
        <v>62</v>
      </c>
    </row>
    <row r="162" spans="1:22" ht="11.25" x14ac:dyDescent="0.2">
      <c r="A162" s="65">
        <v>305806</v>
      </c>
      <c r="B162" s="65" t="s">
        <v>726</v>
      </c>
      <c r="C162" s="66" t="s">
        <v>727</v>
      </c>
      <c r="D162" s="66" t="s">
        <v>727</v>
      </c>
      <c r="E162" s="67" t="s">
        <v>187</v>
      </c>
      <c r="F162" s="66" t="s">
        <v>188</v>
      </c>
      <c r="G162" s="67" t="s">
        <v>23</v>
      </c>
      <c r="H162" s="65" t="s">
        <v>179</v>
      </c>
      <c r="I162" s="67" t="s">
        <v>180</v>
      </c>
      <c r="J162" s="67" t="s">
        <v>189</v>
      </c>
      <c r="K162" s="67" t="s">
        <v>190</v>
      </c>
      <c r="L162" s="65" t="s">
        <v>36</v>
      </c>
      <c r="M162" s="68" t="s">
        <v>37</v>
      </c>
      <c r="N162" s="68" t="s">
        <v>29</v>
      </c>
      <c r="O162" s="68" t="s">
        <v>30</v>
      </c>
      <c r="P162" s="69"/>
      <c r="Q162" s="70"/>
      <c r="R162" s="70" t="s">
        <v>31</v>
      </c>
      <c r="S162" s="71">
        <v>45378.6875</v>
      </c>
      <c r="T162" s="72" t="s">
        <v>99</v>
      </c>
      <c r="U162" s="63">
        <v>45468.6875</v>
      </c>
      <c r="V162" s="64">
        <v>70</v>
      </c>
    </row>
    <row r="163" spans="1:22" ht="11.25" x14ac:dyDescent="0.2">
      <c r="A163" s="65">
        <v>305812</v>
      </c>
      <c r="B163" s="65" t="s">
        <v>728</v>
      </c>
      <c r="C163" s="66" t="s">
        <v>729</v>
      </c>
      <c r="D163" s="66" t="s">
        <v>729</v>
      </c>
      <c r="E163" s="67" t="s">
        <v>105</v>
      </c>
      <c r="F163" s="66" t="s">
        <v>106</v>
      </c>
      <c r="G163" s="67" t="s">
        <v>23</v>
      </c>
      <c r="H163" s="65" t="s">
        <v>34</v>
      </c>
      <c r="I163" s="67" t="s">
        <v>35</v>
      </c>
      <c r="J163" s="67" t="s">
        <v>653</v>
      </c>
      <c r="K163" s="67" t="s">
        <v>654</v>
      </c>
      <c r="L163" s="65" t="s">
        <v>36</v>
      </c>
      <c r="M163" s="68" t="s">
        <v>37</v>
      </c>
      <c r="N163" s="68" t="s">
        <v>29</v>
      </c>
      <c r="O163" s="68" t="s">
        <v>30</v>
      </c>
      <c r="P163" s="69">
        <v>45475.555555555598</v>
      </c>
      <c r="Q163" s="70"/>
      <c r="R163" s="70" t="s">
        <v>31</v>
      </c>
      <c r="S163" s="71">
        <v>45378.551388888904</v>
      </c>
      <c r="T163" s="72" t="s">
        <v>109</v>
      </c>
      <c r="U163" s="63">
        <v>45476.447222222203</v>
      </c>
      <c r="V163" s="64">
        <v>62</v>
      </c>
    </row>
    <row r="164" spans="1:22" ht="11.25" x14ac:dyDescent="0.2">
      <c r="A164" s="65">
        <v>305815</v>
      </c>
      <c r="B164" s="65" t="s">
        <v>730</v>
      </c>
      <c r="C164" s="66" t="s">
        <v>731</v>
      </c>
      <c r="D164" s="66" t="s">
        <v>731</v>
      </c>
      <c r="E164" s="67" t="s">
        <v>732</v>
      </c>
      <c r="F164" s="66" t="s">
        <v>733</v>
      </c>
      <c r="G164" s="67" t="s">
        <v>23</v>
      </c>
      <c r="H164" s="65" t="s">
        <v>22</v>
      </c>
      <c r="I164" s="67" t="s">
        <v>24</v>
      </c>
      <c r="J164" s="67" t="s">
        <v>649</v>
      </c>
      <c r="K164" s="67" t="s">
        <v>650</v>
      </c>
      <c r="L164" s="65" t="s">
        <v>36</v>
      </c>
      <c r="M164" s="68" t="s">
        <v>37</v>
      </c>
      <c r="N164" s="68" t="s">
        <v>29</v>
      </c>
      <c r="O164" s="68" t="s">
        <v>30</v>
      </c>
      <c r="P164" s="69"/>
      <c r="Q164" s="70"/>
      <c r="R164" s="70" t="s">
        <v>31</v>
      </c>
      <c r="S164" s="71">
        <v>45364.923611111102</v>
      </c>
      <c r="T164" s="72" t="s">
        <v>85</v>
      </c>
      <c r="U164" s="63">
        <v>45476.447222222203</v>
      </c>
      <c r="V164" s="64">
        <v>62</v>
      </c>
    </row>
    <row r="165" spans="1:22" ht="11.25" x14ac:dyDescent="0.2">
      <c r="A165" s="65">
        <v>305818</v>
      </c>
      <c r="B165" s="65" t="s">
        <v>734</v>
      </c>
      <c r="C165" s="66" t="s">
        <v>735</v>
      </c>
      <c r="D165" s="66" t="s">
        <v>735</v>
      </c>
      <c r="E165" s="67" t="s">
        <v>297</v>
      </c>
      <c r="F165" s="66" t="s">
        <v>298</v>
      </c>
      <c r="G165" s="67" t="s">
        <v>23</v>
      </c>
      <c r="H165" s="65" t="s">
        <v>22</v>
      </c>
      <c r="I165" s="67" t="s">
        <v>24</v>
      </c>
      <c r="J165" s="67" t="s">
        <v>649</v>
      </c>
      <c r="K165" s="67" t="s">
        <v>650</v>
      </c>
      <c r="L165" s="65" t="s">
        <v>36</v>
      </c>
      <c r="M165" s="68" t="s">
        <v>37</v>
      </c>
      <c r="N165" s="68" t="s">
        <v>29</v>
      </c>
      <c r="O165" s="68" t="s">
        <v>30</v>
      </c>
      <c r="P165" s="69"/>
      <c r="Q165" s="70"/>
      <c r="R165" s="70" t="s">
        <v>31</v>
      </c>
      <c r="S165" s="71">
        <v>45384.413888888899</v>
      </c>
      <c r="T165" s="72" t="s">
        <v>85</v>
      </c>
      <c r="U165" s="63">
        <v>45476.447916666701</v>
      </c>
      <c r="V165" s="64">
        <v>62</v>
      </c>
    </row>
    <row r="166" spans="1:22" ht="11.25" x14ac:dyDescent="0.2">
      <c r="A166" s="65">
        <v>305822</v>
      </c>
      <c r="B166" s="65" t="s">
        <v>736</v>
      </c>
      <c r="C166" s="66" t="s">
        <v>737</v>
      </c>
      <c r="D166" s="66" t="s">
        <v>738</v>
      </c>
      <c r="E166" s="67" t="s">
        <v>632</v>
      </c>
      <c r="F166" s="66" t="s">
        <v>633</v>
      </c>
      <c r="G166" s="67" t="s">
        <v>23</v>
      </c>
      <c r="H166" s="65" t="s">
        <v>34</v>
      </c>
      <c r="I166" s="67" t="s">
        <v>35</v>
      </c>
      <c r="J166" s="67" t="s">
        <v>634</v>
      </c>
      <c r="K166" s="67" t="s">
        <v>635</v>
      </c>
      <c r="L166" s="65" t="s">
        <v>36</v>
      </c>
      <c r="M166" s="68" t="s">
        <v>37</v>
      </c>
      <c r="N166" s="68" t="s">
        <v>90</v>
      </c>
      <c r="O166" s="68" t="s">
        <v>91</v>
      </c>
      <c r="P166" s="69">
        <v>45432.420138888898</v>
      </c>
      <c r="Q166" s="70"/>
      <c r="R166" s="70" t="s">
        <v>31</v>
      </c>
      <c r="S166" s="71">
        <v>45377.406944444403</v>
      </c>
      <c r="T166" s="72" t="s">
        <v>99</v>
      </c>
      <c r="U166" s="63">
        <v>45476.447916666701</v>
      </c>
      <c r="V166" s="64">
        <v>62</v>
      </c>
    </row>
    <row r="167" spans="1:22" ht="11.25" x14ac:dyDescent="0.2">
      <c r="A167" s="65">
        <v>305824</v>
      </c>
      <c r="B167" s="65" t="s">
        <v>739</v>
      </c>
      <c r="C167" s="66" t="s">
        <v>740</v>
      </c>
      <c r="D167" s="66" t="s">
        <v>740</v>
      </c>
      <c r="E167" s="67" t="s">
        <v>297</v>
      </c>
      <c r="F167" s="66" t="s">
        <v>298</v>
      </c>
      <c r="G167" s="67" t="s">
        <v>23</v>
      </c>
      <c r="H167" s="65" t="s">
        <v>22</v>
      </c>
      <c r="I167" s="67" t="s">
        <v>24</v>
      </c>
      <c r="J167" s="67" t="s">
        <v>649</v>
      </c>
      <c r="K167" s="67" t="s">
        <v>650</v>
      </c>
      <c r="L167" s="65" t="s">
        <v>36</v>
      </c>
      <c r="M167" s="68" t="s">
        <v>37</v>
      </c>
      <c r="N167" s="68" t="s">
        <v>29</v>
      </c>
      <c r="O167" s="68" t="s">
        <v>30</v>
      </c>
      <c r="P167" s="69"/>
      <c r="Q167" s="70"/>
      <c r="R167" s="70" t="s">
        <v>31</v>
      </c>
      <c r="S167" s="71">
        <v>45384.464583333298</v>
      </c>
      <c r="T167" s="72" t="s">
        <v>85</v>
      </c>
      <c r="U167" s="63">
        <v>45476.447916666701</v>
      </c>
      <c r="V167" s="64">
        <v>62</v>
      </c>
    </row>
    <row r="168" spans="1:22" ht="11.25" x14ac:dyDescent="0.2">
      <c r="A168" s="65">
        <v>305825</v>
      </c>
      <c r="B168" s="65" t="s">
        <v>741</v>
      </c>
      <c r="C168" s="66" t="s">
        <v>742</v>
      </c>
      <c r="D168" s="66" t="s">
        <v>742</v>
      </c>
      <c r="E168" s="67" t="s">
        <v>297</v>
      </c>
      <c r="F168" s="66" t="s">
        <v>298</v>
      </c>
      <c r="G168" s="67" t="s">
        <v>23</v>
      </c>
      <c r="H168" s="65" t="s">
        <v>22</v>
      </c>
      <c r="I168" s="67" t="s">
        <v>24</v>
      </c>
      <c r="J168" s="67" t="s">
        <v>649</v>
      </c>
      <c r="K168" s="67" t="s">
        <v>650</v>
      </c>
      <c r="L168" s="65" t="s">
        <v>36</v>
      </c>
      <c r="M168" s="68" t="s">
        <v>37</v>
      </c>
      <c r="N168" s="68" t="s">
        <v>29</v>
      </c>
      <c r="O168" s="68" t="s">
        <v>30</v>
      </c>
      <c r="P168" s="69"/>
      <c r="Q168" s="70"/>
      <c r="R168" s="70" t="s">
        <v>31</v>
      </c>
      <c r="S168" s="71">
        <v>45384.467361111099</v>
      </c>
      <c r="T168" s="72" t="s">
        <v>85</v>
      </c>
      <c r="U168" s="63">
        <v>45476.447916666701</v>
      </c>
      <c r="V168" s="64">
        <v>62</v>
      </c>
    </row>
    <row r="169" spans="1:22" ht="11.25" x14ac:dyDescent="0.2">
      <c r="A169" s="65">
        <v>305826</v>
      </c>
      <c r="B169" s="65" t="s">
        <v>743</v>
      </c>
      <c r="C169" s="66" t="s">
        <v>744</v>
      </c>
      <c r="D169" s="66" t="s">
        <v>744</v>
      </c>
      <c r="E169" s="67" t="s">
        <v>396</v>
      </c>
      <c r="F169" s="66" t="s">
        <v>397</v>
      </c>
      <c r="G169" s="67" t="s">
        <v>23</v>
      </c>
      <c r="H169" s="65" t="s">
        <v>22</v>
      </c>
      <c r="I169" s="67" t="s">
        <v>24</v>
      </c>
      <c r="J169" s="67" t="s">
        <v>649</v>
      </c>
      <c r="K169" s="67" t="s">
        <v>650</v>
      </c>
      <c r="L169" s="65" t="s">
        <v>36</v>
      </c>
      <c r="M169" s="68" t="s">
        <v>37</v>
      </c>
      <c r="N169" s="68" t="s">
        <v>29</v>
      </c>
      <c r="O169" s="68" t="s">
        <v>30</v>
      </c>
      <c r="P169" s="69"/>
      <c r="Q169" s="70"/>
      <c r="R169" s="70" t="s">
        <v>31</v>
      </c>
      <c r="S169" s="71">
        <v>45384.470138888901</v>
      </c>
      <c r="T169" s="72" t="s">
        <v>398</v>
      </c>
      <c r="U169" s="63">
        <v>45476.447916666701</v>
      </c>
      <c r="V169" s="64">
        <v>62</v>
      </c>
    </row>
    <row r="170" spans="1:22" ht="11.25" x14ac:dyDescent="0.2">
      <c r="A170" s="65">
        <v>305827</v>
      </c>
      <c r="B170" s="65" t="s">
        <v>745</v>
      </c>
      <c r="C170" s="66" t="s">
        <v>746</v>
      </c>
      <c r="D170" s="66" t="s">
        <v>746</v>
      </c>
      <c r="E170" s="67" t="s">
        <v>86</v>
      </c>
      <c r="F170" s="66" t="s">
        <v>87</v>
      </c>
      <c r="G170" s="67" t="s">
        <v>23</v>
      </c>
      <c r="H170" s="65" t="s">
        <v>22</v>
      </c>
      <c r="I170" s="67" t="s">
        <v>24</v>
      </c>
      <c r="J170" s="67" t="s">
        <v>649</v>
      </c>
      <c r="K170" s="67" t="s">
        <v>650</v>
      </c>
      <c r="L170" s="65" t="s">
        <v>36</v>
      </c>
      <c r="M170" s="68" t="s">
        <v>37</v>
      </c>
      <c r="N170" s="68" t="s">
        <v>29</v>
      </c>
      <c r="O170" s="68" t="s">
        <v>30</v>
      </c>
      <c r="P170" s="69">
        <v>45442.406944444403</v>
      </c>
      <c r="Q170" s="70"/>
      <c r="R170" s="70" t="s">
        <v>31</v>
      </c>
      <c r="S170" s="71">
        <v>45383.278472222199</v>
      </c>
      <c r="T170" s="72" t="s">
        <v>85</v>
      </c>
      <c r="U170" s="63">
        <v>45476.447916666701</v>
      </c>
      <c r="V170" s="64">
        <v>62</v>
      </c>
    </row>
    <row r="171" spans="1:22" ht="11.25" x14ac:dyDescent="0.2">
      <c r="A171" s="65">
        <v>305829</v>
      </c>
      <c r="B171" s="65" t="s">
        <v>747</v>
      </c>
      <c r="C171" s="66" t="s">
        <v>1424</v>
      </c>
      <c r="D171" s="66" t="s">
        <v>1424</v>
      </c>
      <c r="E171" s="67" t="s">
        <v>439</v>
      </c>
      <c r="F171" s="66" t="s">
        <v>440</v>
      </c>
      <c r="G171" s="67" t="s">
        <v>23</v>
      </c>
      <c r="H171" s="65" t="s">
        <v>22</v>
      </c>
      <c r="I171" s="67" t="s">
        <v>24</v>
      </c>
      <c r="J171" s="67" t="s">
        <v>509</v>
      </c>
      <c r="K171" s="67" t="s">
        <v>510</v>
      </c>
      <c r="L171" s="65" t="s">
        <v>36</v>
      </c>
      <c r="M171" s="68" t="s">
        <v>37</v>
      </c>
      <c r="N171" s="68" t="s">
        <v>29</v>
      </c>
      <c r="O171" s="68" t="s">
        <v>30</v>
      </c>
      <c r="P171" s="69">
        <v>45497.333333333299</v>
      </c>
      <c r="Q171" s="70"/>
      <c r="R171" s="70" t="s">
        <v>31</v>
      </c>
      <c r="S171" s="71">
        <v>45384.465972222199</v>
      </c>
      <c r="T171" s="72" t="s">
        <v>85</v>
      </c>
      <c r="U171" s="63">
        <v>45476.447916666701</v>
      </c>
      <c r="V171" s="64">
        <v>62</v>
      </c>
    </row>
    <row r="172" spans="1:22" ht="11.25" x14ac:dyDescent="0.2">
      <c r="A172" s="65">
        <v>305836</v>
      </c>
      <c r="B172" s="65" t="s">
        <v>748</v>
      </c>
      <c r="C172" s="66" t="s">
        <v>749</v>
      </c>
      <c r="D172" s="66" t="s">
        <v>749</v>
      </c>
      <c r="E172" s="67" t="s">
        <v>194</v>
      </c>
      <c r="F172" s="66" t="s">
        <v>195</v>
      </c>
      <c r="G172" s="67" t="s">
        <v>23</v>
      </c>
      <c r="H172" s="65" t="s">
        <v>34</v>
      </c>
      <c r="I172" s="67" t="s">
        <v>35</v>
      </c>
      <c r="J172" s="67" t="s">
        <v>66</v>
      </c>
      <c r="K172" s="67" t="s">
        <v>67</v>
      </c>
      <c r="L172" s="65" t="s">
        <v>36</v>
      </c>
      <c r="M172" s="68" t="s">
        <v>37</v>
      </c>
      <c r="N172" s="68" t="s">
        <v>83</v>
      </c>
      <c r="O172" s="68" t="s">
        <v>84</v>
      </c>
      <c r="P172" s="69"/>
      <c r="Q172" s="70"/>
      <c r="R172" s="70" t="s">
        <v>40</v>
      </c>
      <c r="S172" s="71">
        <v>45385.459027777797</v>
      </c>
      <c r="T172" s="72" t="s">
        <v>80</v>
      </c>
      <c r="U172" s="63">
        <v>45386.447916666701</v>
      </c>
      <c r="V172" s="64">
        <v>152</v>
      </c>
    </row>
    <row r="173" spans="1:22" ht="11.25" x14ac:dyDescent="0.2">
      <c r="A173" s="65">
        <v>305838</v>
      </c>
      <c r="B173" s="65" t="s">
        <v>750</v>
      </c>
      <c r="C173" s="66" t="s">
        <v>751</v>
      </c>
      <c r="D173" s="66" t="s">
        <v>751</v>
      </c>
      <c r="E173" s="67" t="s">
        <v>297</v>
      </c>
      <c r="F173" s="66" t="s">
        <v>298</v>
      </c>
      <c r="G173" s="67" t="s">
        <v>23</v>
      </c>
      <c r="H173" s="65" t="s">
        <v>179</v>
      </c>
      <c r="I173" s="67" t="s">
        <v>180</v>
      </c>
      <c r="J173" s="67" t="s">
        <v>649</v>
      </c>
      <c r="K173" s="67" t="s">
        <v>650</v>
      </c>
      <c r="L173" s="65" t="s">
        <v>36</v>
      </c>
      <c r="M173" s="68" t="s">
        <v>37</v>
      </c>
      <c r="N173" s="68" t="s">
        <v>29</v>
      </c>
      <c r="O173" s="68" t="s">
        <v>30</v>
      </c>
      <c r="P173" s="69"/>
      <c r="Q173" s="70"/>
      <c r="R173" s="70" t="s">
        <v>31</v>
      </c>
      <c r="S173" s="71">
        <v>45384.482638888898</v>
      </c>
      <c r="T173" s="72" t="s">
        <v>85</v>
      </c>
      <c r="U173" s="63">
        <v>45474.482638888898</v>
      </c>
      <c r="V173" s="64">
        <v>64</v>
      </c>
    </row>
    <row r="174" spans="1:22" ht="11.25" x14ac:dyDescent="0.2">
      <c r="A174" s="65">
        <v>305842</v>
      </c>
      <c r="B174" s="65" t="s">
        <v>752</v>
      </c>
      <c r="C174" s="66" t="s">
        <v>1205</v>
      </c>
      <c r="D174" s="66" t="s">
        <v>1205</v>
      </c>
      <c r="E174" s="67" t="s">
        <v>157</v>
      </c>
      <c r="F174" s="66" t="s">
        <v>158</v>
      </c>
      <c r="G174" s="67" t="s">
        <v>23</v>
      </c>
      <c r="H174" s="65" t="s">
        <v>22</v>
      </c>
      <c r="I174" s="67" t="s">
        <v>24</v>
      </c>
      <c r="J174" s="67" t="s">
        <v>226</v>
      </c>
      <c r="K174" s="67" t="s">
        <v>227</v>
      </c>
      <c r="L174" s="65" t="s">
        <v>36</v>
      </c>
      <c r="M174" s="68" t="s">
        <v>37</v>
      </c>
      <c r="N174" s="68" t="s">
        <v>29</v>
      </c>
      <c r="O174" s="68" t="s">
        <v>30</v>
      </c>
      <c r="P174" s="69">
        <v>45476.618750000001</v>
      </c>
      <c r="Q174" s="70"/>
      <c r="R174" s="70" t="s">
        <v>31</v>
      </c>
      <c r="S174" s="71">
        <v>45384.916666666701</v>
      </c>
      <c r="T174" s="72" t="s">
        <v>85</v>
      </c>
      <c r="U174" s="63">
        <v>45476.447916666701</v>
      </c>
      <c r="V174" s="64">
        <v>62</v>
      </c>
    </row>
    <row r="175" spans="1:22" ht="11.25" x14ac:dyDescent="0.2">
      <c r="A175" s="65">
        <v>305846</v>
      </c>
      <c r="B175" s="65" t="s">
        <v>966</v>
      </c>
      <c r="C175" s="66" t="s">
        <v>753</v>
      </c>
      <c r="D175" s="66" t="s">
        <v>753</v>
      </c>
      <c r="E175" s="67" t="s">
        <v>754</v>
      </c>
      <c r="F175" s="66" t="s">
        <v>296</v>
      </c>
      <c r="G175" s="67" t="s">
        <v>33</v>
      </c>
      <c r="H175" s="65" t="s">
        <v>53</v>
      </c>
      <c r="I175" s="67" t="s">
        <v>54</v>
      </c>
      <c r="J175" s="67" t="s">
        <v>755</v>
      </c>
      <c r="K175" s="67" t="s">
        <v>756</v>
      </c>
      <c r="L175" s="65" t="s">
        <v>36</v>
      </c>
      <c r="M175" s="68" t="s">
        <v>37</v>
      </c>
      <c r="N175" s="68" t="s">
        <v>57</v>
      </c>
      <c r="O175" s="68" t="s">
        <v>58</v>
      </c>
      <c r="P175" s="69">
        <v>45440.627777777801</v>
      </c>
      <c r="Q175" s="70"/>
      <c r="R175" s="70" t="s">
        <v>31</v>
      </c>
      <c r="S175" s="71">
        <v>45383.4909722222</v>
      </c>
      <c r="T175" s="72" t="s">
        <v>757</v>
      </c>
      <c r="U175" s="63">
        <v>45476.447916666701</v>
      </c>
      <c r="V175" s="64">
        <v>62</v>
      </c>
    </row>
    <row r="176" spans="1:22" ht="11.25" x14ac:dyDescent="0.2">
      <c r="A176" s="65">
        <v>305847</v>
      </c>
      <c r="B176" s="65" t="s">
        <v>758</v>
      </c>
      <c r="C176" s="66" t="s">
        <v>759</v>
      </c>
      <c r="D176" s="66" t="s">
        <v>759</v>
      </c>
      <c r="E176" s="67" t="s">
        <v>760</v>
      </c>
      <c r="F176" s="66" t="s">
        <v>761</v>
      </c>
      <c r="G176" s="67" t="s">
        <v>33</v>
      </c>
      <c r="H176" s="65" t="s">
        <v>179</v>
      </c>
      <c r="I176" s="67" t="s">
        <v>180</v>
      </c>
      <c r="J176" s="67" t="s">
        <v>71</v>
      </c>
      <c r="K176" s="67" t="s">
        <v>72</v>
      </c>
      <c r="L176" s="65" t="s">
        <v>36</v>
      </c>
      <c r="M176" s="68" t="s">
        <v>37</v>
      </c>
      <c r="N176" s="68" t="s">
        <v>83</v>
      </c>
      <c r="O176" s="68" t="s">
        <v>84</v>
      </c>
      <c r="P176" s="69"/>
      <c r="Q176" s="70"/>
      <c r="R176" s="70" t="s">
        <v>31</v>
      </c>
      <c r="S176" s="71">
        <v>45362.247916666704</v>
      </c>
      <c r="T176" s="72" t="s">
        <v>100</v>
      </c>
      <c r="U176" s="63">
        <v>45452.247916666704</v>
      </c>
      <c r="V176" s="64">
        <v>86</v>
      </c>
    </row>
    <row r="177" spans="1:22" ht="11.25" x14ac:dyDescent="0.2">
      <c r="A177" s="65">
        <v>305866</v>
      </c>
      <c r="B177" s="65" t="s">
        <v>762</v>
      </c>
      <c r="C177" s="66" t="s">
        <v>763</v>
      </c>
      <c r="D177" s="66" t="s">
        <v>764</v>
      </c>
      <c r="E177" s="67" t="s">
        <v>86</v>
      </c>
      <c r="F177" s="66" t="s">
        <v>87</v>
      </c>
      <c r="G177" s="67" t="s">
        <v>23</v>
      </c>
      <c r="H177" s="65" t="s">
        <v>22</v>
      </c>
      <c r="I177" s="67" t="s">
        <v>24</v>
      </c>
      <c r="J177" s="67" t="s">
        <v>509</v>
      </c>
      <c r="K177" s="67" t="s">
        <v>510</v>
      </c>
      <c r="L177" s="65" t="s">
        <v>36</v>
      </c>
      <c r="M177" s="68" t="s">
        <v>37</v>
      </c>
      <c r="N177" s="68" t="s">
        <v>29</v>
      </c>
      <c r="O177" s="68" t="s">
        <v>30</v>
      </c>
      <c r="P177" s="69"/>
      <c r="Q177" s="70"/>
      <c r="R177" s="70" t="s">
        <v>31</v>
      </c>
      <c r="S177" s="71">
        <v>45393.729166666701</v>
      </c>
      <c r="T177" s="72"/>
      <c r="U177" s="63">
        <v>45484.447916666701</v>
      </c>
      <c r="V177" s="64">
        <v>54</v>
      </c>
    </row>
    <row r="178" spans="1:22" ht="11.25" x14ac:dyDescent="0.2">
      <c r="A178" s="65">
        <v>305872</v>
      </c>
      <c r="B178" s="65" t="s">
        <v>765</v>
      </c>
      <c r="C178" s="66" t="s">
        <v>766</v>
      </c>
      <c r="D178" s="66" t="s">
        <v>1026</v>
      </c>
      <c r="E178" s="67" t="s">
        <v>767</v>
      </c>
      <c r="F178" s="66" t="s">
        <v>768</v>
      </c>
      <c r="G178" s="67" t="s">
        <v>48</v>
      </c>
      <c r="H178" s="65" t="s">
        <v>49</v>
      </c>
      <c r="I178" s="67" t="s">
        <v>50</v>
      </c>
      <c r="J178" s="67" t="s">
        <v>769</v>
      </c>
      <c r="K178" s="67" t="s">
        <v>770</v>
      </c>
      <c r="L178" s="65" t="s">
        <v>36</v>
      </c>
      <c r="M178" s="68" t="s">
        <v>37</v>
      </c>
      <c r="N178" s="68" t="s">
        <v>57</v>
      </c>
      <c r="O178" s="68" t="s">
        <v>58</v>
      </c>
      <c r="P178" s="69">
        <v>45525.702777777798</v>
      </c>
      <c r="Q178" s="70"/>
      <c r="R178" s="70" t="s">
        <v>31</v>
      </c>
      <c r="S178" s="71">
        <v>45394.520833333299</v>
      </c>
      <c r="T178" s="72"/>
      <c r="U178" s="63">
        <v>45487.632638888899</v>
      </c>
      <c r="V178" s="64">
        <v>51</v>
      </c>
    </row>
    <row r="179" spans="1:22" ht="11.25" x14ac:dyDescent="0.2">
      <c r="A179" s="65">
        <v>305896</v>
      </c>
      <c r="B179" s="65" t="s">
        <v>771</v>
      </c>
      <c r="C179" s="66" t="s">
        <v>772</v>
      </c>
      <c r="D179" s="66" t="s">
        <v>772</v>
      </c>
      <c r="E179" s="67" t="s">
        <v>191</v>
      </c>
      <c r="F179" s="66" t="s">
        <v>192</v>
      </c>
      <c r="G179" s="67" t="s">
        <v>23</v>
      </c>
      <c r="H179" s="65" t="s">
        <v>34</v>
      </c>
      <c r="I179" s="67" t="s">
        <v>35</v>
      </c>
      <c r="J179" s="67" t="s">
        <v>185</v>
      </c>
      <c r="K179" s="67" t="s">
        <v>186</v>
      </c>
      <c r="L179" s="65" t="s">
        <v>36</v>
      </c>
      <c r="M179" s="68" t="s">
        <v>37</v>
      </c>
      <c r="N179" s="68" t="s">
        <v>51</v>
      </c>
      <c r="O179" s="68" t="s">
        <v>52</v>
      </c>
      <c r="P179" s="69">
        <v>45406.377777777801</v>
      </c>
      <c r="Q179" s="70"/>
      <c r="R179" s="70" t="s">
        <v>40</v>
      </c>
      <c r="S179" s="71">
        <v>45406.377777777801</v>
      </c>
      <c r="T179" s="72"/>
      <c r="U179" s="63">
        <v>45406.377777777801</v>
      </c>
      <c r="V179" s="64">
        <v>132</v>
      </c>
    </row>
    <row r="180" spans="1:22" ht="11.25" x14ac:dyDescent="0.2">
      <c r="A180" s="65">
        <v>305901</v>
      </c>
      <c r="B180" s="65" t="s">
        <v>773</v>
      </c>
      <c r="C180" s="66" t="s">
        <v>774</v>
      </c>
      <c r="D180" s="66" t="s">
        <v>774</v>
      </c>
      <c r="E180" s="67" t="s">
        <v>775</v>
      </c>
      <c r="F180" s="66" t="s">
        <v>776</v>
      </c>
      <c r="G180" s="67" t="s">
        <v>23</v>
      </c>
      <c r="H180" s="65" t="s">
        <v>34</v>
      </c>
      <c r="I180" s="67" t="s">
        <v>35</v>
      </c>
      <c r="J180" s="67" t="s">
        <v>119</v>
      </c>
      <c r="K180" s="67" t="s">
        <v>120</v>
      </c>
      <c r="L180" s="65" t="s">
        <v>36</v>
      </c>
      <c r="M180" s="68" t="s">
        <v>37</v>
      </c>
      <c r="N180" s="68" t="s">
        <v>51</v>
      </c>
      <c r="O180" s="68" t="s">
        <v>52</v>
      </c>
      <c r="P180" s="69">
        <v>45407.443749999999</v>
      </c>
      <c r="Q180" s="70"/>
      <c r="R180" s="70" t="s">
        <v>40</v>
      </c>
      <c r="S180" s="71">
        <v>45383.6694444444</v>
      </c>
      <c r="T180" s="72"/>
      <c r="U180" s="63">
        <v>45383.6694444444</v>
      </c>
      <c r="V180" s="64">
        <v>155</v>
      </c>
    </row>
    <row r="181" spans="1:22" ht="11.25" x14ac:dyDescent="0.2">
      <c r="A181" s="65">
        <v>305903</v>
      </c>
      <c r="B181" s="65" t="s">
        <v>777</v>
      </c>
      <c r="C181" s="66" t="s">
        <v>313</v>
      </c>
      <c r="D181" s="66" t="s">
        <v>313</v>
      </c>
      <c r="E181" s="67" t="s">
        <v>136</v>
      </c>
      <c r="F181" s="66" t="s">
        <v>137</v>
      </c>
      <c r="G181" s="67" t="s">
        <v>23</v>
      </c>
      <c r="H181" s="65" t="s">
        <v>34</v>
      </c>
      <c r="I181" s="67" t="s">
        <v>35</v>
      </c>
      <c r="J181" s="67" t="s">
        <v>226</v>
      </c>
      <c r="K181" s="67" t="s">
        <v>227</v>
      </c>
      <c r="L181" s="65" t="s">
        <v>36</v>
      </c>
      <c r="M181" s="68" t="s">
        <v>37</v>
      </c>
      <c r="N181" s="68" t="s">
        <v>29</v>
      </c>
      <c r="O181" s="68" t="s">
        <v>30</v>
      </c>
      <c r="P181" s="69">
        <v>45422.634722222203</v>
      </c>
      <c r="Q181" s="70"/>
      <c r="R181" s="70" t="s">
        <v>40</v>
      </c>
      <c r="S181" s="71">
        <v>45405.634722222203</v>
      </c>
      <c r="T181" s="72"/>
      <c r="U181" s="63">
        <v>45405.634722222203</v>
      </c>
      <c r="V181" s="64">
        <v>133</v>
      </c>
    </row>
    <row r="182" spans="1:22" ht="11.25" x14ac:dyDescent="0.2">
      <c r="A182" s="65">
        <v>305908</v>
      </c>
      <c r="B182" s="65" t="s">
        <v>778</v>
      </c>
      <c r="C182" s="66" t="s">
        <v>779</v>
      </c>
      <c r="D182" s="66" t="s">
        <v>779</v>
      </c>
      <c r="E182" s="67" t="s">
        <v>372</v>
      </c>
      <c r="F182" s="66" t="s">
        <v>373</v>
      </c>
      <c r="G182" s="67" t="s">
        <v>23</v>
      </c>
      <c r="H182" s="65" t="s">
        <v>22</v>
      </c>
      <c r="I182" s="67" t="s">
        <v>24</v>
      </c>
      <c r="J182" s="67" t="s">
        <v>649</v>
      </c>
      <c r="K182" s="67" t="s">
        <v>650</v>
      </c>
      <c r="L182" s="65" t="s">
        <v>36</v>
      </c>
      <c r="M182" s="68" t="s">
        <v>37</v>
      </c>
      <c r="N182" s="68" t="s">
        <v>51</v>
      </c>
      <c r="O182" s="68" t="s">
        <v>52</v>
      </c>
      <c r="P182" s="69">
        <v>45450.425694444399</v>
      </c>
      <c r="Q182" s="70"/>
      <c r="R182" s="70" t="s">
        <v>40</v>
      </c>
      <c r="S182" s="71">
        <v>45398.6027777778</v>
      </c>
      <c r="T182" s="72"/>
      <c r="U182" s="63">
        <v>45407.400694444397</v>
      </c>
      <c r="V182" s="64">
        <v>131</v>
      </c>
    </row>
    <row r="183" spans="1:22" ht="11.25" x14ac:dyDescent="0.2">
      <c r="A183" s="65">
        <v>305911</v>
      </c>
      <c r="B183" s="65" t="s">
        <v>780</v>
      </c>
      <c r="C183" s="66" t="s">
        <v>781</v>
      </c>
      <c r="D183" s="66" t="s">
        <v>781</v>
      </c>
      <c r="E183" s="67" t="s">
        <v>659</v>
      </c>
      <c r="F183" s="66" t="s">
        <v>660</v>
      </c>
      <c r="G183" s="67" t="s">
        <v>23</v>
      </c>
      <c r="H183" s="65" t="s">
        <v>34</v>
      </c>
      <c r="I183" s="67" t="s">
        <v>35</v>
      </c>
      <c r="J183" s="67" t="s">
        <v>649</v>
      </c>
      <c r="K183" s="67" t="s">
        <v>650</v>
      </c>
      <c r="L183" s="65" t="s">
        <v>36</v>
      </c>
      <c r="M183" s="68" t="s">
        <v>37</v>
      </c>
      <c r="N183" s="68" t="s">
        <v>51</v>
      </c>
      <c r="O183" s="68" t="s">
        <v>52</v>
      </c>
      <c r="P183" s="69">
        <v>45408.566666666702</v>
      </c>
      <c r="Q183" s="70"/>
      <c r="R183" s="70" t="s">
        <v>40</v>
      </c>
      <c r="S183" s="71">
        <v>45405.926388888904</v>
      </c>
      <c r="T183" s="72"/>
      <c r="U183" s="63">
        <v>45407.564583333296</v>
      </c>
      <c r="V183" s="64">
        <v>131</v>
      </c>
    </row>
    <row r="184" spans="1:22" ht="11.25" x14ac:dyDescent="0.2">
      <c r="A184" s="65">
        <v>305912</v>
      </c>
      <c r="B184" s="65" t="s">
        <v>782</v>
      </c>
      <c r="C184" s="66" t="s">
        <v>783</v>
      </c>
      <c r="D184" s="66" t="s">
        <v>783</v>
      </c>
      <c r="E184" s="67" t="s">
        <v>348</v>
      </c>
      <c r="F184" s="66" t="s">
        <v>349</v>
      </c>
      <c r="G184" s="67" t="s">
        <v>33</v>
      </c>
      <c r="H184" s="65" t="s">
        <v>81</v>
      </c>
      <c r="I184" s="67" t="s">
        <v>82</v>
      </c>
      <c r="J184" s="67" t="s">
        <v>475</v>
      </c>
      <c r="K184" s="67" t="s">
        <v>476</v>
      </c>
      <c r="L184" s="65" t="s">
        <v>36</v>
      </c>
      <c r="M184" s="68" t="s">
        <v>37</v>
      </c>
      <c r="N184" s="68" t="s">
        <v>29</v>
      </c>
      <c r="O184" s="68" t="s">
        <v>30</v>
      </c>
      <c r="P184" s="69">
        <v>45411.525000000001</v>
      </c>
      <c r="Q184" s="70"/>
      <c r="R184" s="70" t="s">
        <v>40</v>
      </c>
      <c r="S184" s="71">
        <v>45408.522916666698</v>
      </c>
      <c r="T184" s="72"/>
      <c r="U184" s="63">
        <v>45408.523611111101</v>
      </c>
      <c r="V184" s="64">
        <v>130</v>
      </c>
    </row>
    <row r="185" spans="1:22" ht="11.25" x14ac:dyDescent="0.2">
      <c r="A185" s="65">
        <v>305928</v>
      </c>
      <c r="B185" s="65" t="s">
        <v>784</v>
      </c>
      <c r="C185" s="66" t="s">
        <v>785</v>
      </c>
      <c r="D185" s="66" t="s">
        <v>785</v>
      </c>
      <c r="E185" s="67" t="s">
        <v>157</v>
      </c>
      <c r="F185" s="66" t="s">
        <v>158</v>
      </c>
      <c r="G185" s="67" t="s">
        <v>23</v>
      </c>
      <c r="H185" s="65" t="s">
        <v>34</v>
      </c>
      <c r="I185" s="67" t="s">
        <v>35</v>
      </c>
      <c r="J185" s="67" t="s">
        <v>138</v>
      </c>
      <c r="K185" s="67" t="s">
        <v>139</v>
      </c>
      <c r="L185" s="65" t="s">
        <v>36</v>
      </c>
      <c r="M185" s="68" t="s">
        <v>37</v>
      </c>
      <c r="N185" s="68" t="s">
        <v>51</v>
      </c>
      <c r="O185" s="68" t="s">
        <v>52</v>
      </c>
      <c r="P185" s="69">
        <v>45415.392361111102</v>
      </c>
      <c r="Q185" s="70"/>
      <c r="R185" s="70" t="s">
        <v>40</v>
      </c>
      <c r="S185" s="71">
        <v>45411.293749999997</v>
      </c>
      <c r="T185" s="72"/>
      <c r="U185" s="63">
        <v>45414.391666666699</v>
      </c>
      <c r="V185" s="64">
        <v>124</v>
      </c>
    </row>
    <row r="186" spans="1:22" ht="11.25" x14ac:dyDescent="0.2">
      <c r="A186" s="65">
        <v>305929</v>
      </c>
      <c r="B186" s="65" t="s">
        <v>786</v>
      </c>
      <c r="C186" s="66" t="s">
        <v>787</v>
      </c>
      <c r="D186" s="66" t="s">
        <v>787</v>
      </c>
      <c r="E186" s="67" t="s">
        <v>86</v>
      </c>
      <c r="F186" s="66" t="s">
        <v>87</v>
      </c>
      <c r="G186" s="67" t="s">
        <v>23</v>
      </c>
      <c r="H186" s="65" t="s">
        <v>22</v>
      </c>
      <c r="I186" s="67" t="s">
        <v>24</v>
      </c>
      <c r="J186" s="67" t="s">
        <v>649</v>
      </c>
      <c r="K186" s="67" t="s">
        <v>650</v>
      </c>
      <c r="L186" s="65" t="s">
        <v>36</v>
      </c>
      <c r="M186" s="68" t="s">
        <v>37</v>
      </c>
      <c r="N186" s="68" t="s">
        <v>29</v>
      </c>
      <c r="O186" s="68" t="s">
        <v>30</v>
      </c>
      <c r="P186" s="69">
        <v>45442.404861111099</v>
      </c>
      <c r="Q186" s="70"/>
      <c r="R186" s="70" t="s">
        <v>40</v>
      </c>
      <c r="S186" s="71">
        <v>45401.502777777801</v>
      </c>
      <c r="T186" s="72"/>
      <c r="U186" s="63">
        <v>45414.404166666704</v>
      </c>
      <c r="V186" s="64">
        <v>124</v>
      </c>
    </row>
    <row r="187" spans="1:22" ht="11.25" x14ac:dyDescent="0.2">
      <c r="A187" s="65">
        <v>305930</v>
      </c>
      <c r="B187" s="65" t="s">
        <v>788</v>
      </c>
      <c r="C187" s="66" t="s">
        <v>789</v>
      </c>
      <c r="D187" s="66" t="s">
        <v>789</v>
      </c>
      <c r="E187" s="67" t="s">
        <v>86</v>
      </c>
      <c r="F187" s="66" t="s">
        <v>87</v>
      </c>
      <c r="G187" s="67" t="s">
        <v>23</v>
      </c>
      <c r="H187" s="65" t="s">
        <v>34</v>
      </c>
      <c r="I187" s="67" t="s">
        <v>35</v>
      </c>
      <c r="J187" s="67" t="s">
        <v>649</v>
      </c>
      <c r="K187" s="67" t="s">
        <v>650</v>
      </c>
      <c r="L187" s="65" t="s">
        <v>36</v>
      </c>
      <c r="M187" s="68" t="s">
        <v>37</v>
      </c>
      <c r="N187" s="68" t="s">
        <v>51</v>
      </c>
      <c r="O187" s="68" t="s">
        <v>52</v>
      </c>
      <c r="P187" s="69">
        <v>45442.409027777801</v>
      </c>
      <c r="Q187" s="70"/>
      <c r="R187" s="70" t="s">
        <v>40</v>
      </c>
      <c r="S187" s="71">
        <v>45401.502777777801</v>
      </c>
      <c r="T187" s="72"/>
      <c r="U187" s="63">
        <v>45414.408333333296</v>
      </c>
      <c r="V187" s="64">
        <v>124</v>
      </c>
    </row>
    <row r="188" spans="1:22" ht="11.25" x14ac:dyDescent="0.2">
      <c r="A188" s="65">
        <v>305931</v>
      </c>
      <c r="B188" s="65" t="s">
        <v>790</v>
      </c>
      <c r="C188" s="66" t="s">
        <v>791</v>
      </c>
      <c r="D188" s="66" t="s">
        <v>791</v>
      </c>
      <c r="E188" s="67" t="s">
        <v>388</v>
      </c>
      <c r="F188" s="66" t="s">
        <v>389</v>
      </c>
      <c r="G188" s="67" t="s">
        <v>23</v>
      </c>
      <c r="H188" s="65" t="s">
        <v>22</v>
      </c>
      <c r="I188" s="67" t="s">
        <v>24</v>
      </c>
      <c r="J188" s="67" t="s">
        <v>649</v>
      </c>
      <c r="K188" s="67" t="s">
        <v>650</v>
      </c>
      <c r="L188" s="65" t="s">
        <v>36</v>
      </c>
      <c r="M188" s="68" t="s">
        <v>37</v>
      </c>
      <c r="N188" s="68" t="s">
        <v>57</v>
      </c>
      <c r="O188" s="68" t="s">
        <v>58</v>
      </c>
      <c r="P188" s="69">
        <v>45442.413888888899</v>
      </c>
      <c r="Q188" s="70"/>
      <c r="R188" s="70" t="s">
        <v>40</v>
      </c>
      <c r="S188" s="71">
        <v>45406.90625</v>
      </c>
      <c r="T188" s="72"/>
      <c r="U188" s="63">
        <v>45414.413194444402</v>
      </c>
      <c r="V188" s="64">
        <v>124</v>
      </c>
    </row>
    <row r="189" spans="1:22" ht="11.25" x14ac:dyDescent="0.2">
      <c r="A189" s="65">
        <v>305938</v>
      </c>
      <c r="B189" s="65" t="s">
        <v>792</v>
      </c>
      <c r="C189" s="66" t="s">
        <v>793</v>
      </c>
      <c r="D189" s="66" t="s">
        <v>1461</v>
      </c>
      <c r="E189" s="67" t="s">
        <v>514</v>
      </c>
      <c r="F189" s="66" t="s">
        <v>515</v>
      </c>
      <c r="G189" s="67" t="s">
        <v>23</v>
      </c>
      <c r="H189" s="65" t="s">
        <v>22</v>
      </c>
      <c r="I189" s="67" t="s">
        <v>24</v>
      </c>
      <c r="J189" s="67" t="s">
        <v>128</v>
      </c>
      <c r="K189" s="67" t="s">
        <v>129</v>
      </c>
      <c r="L189" s="65" t="s">
        <v>36</v>
      </c>
      <c r="M189" s="68" t="s">
        <v>37</v>
      </c>
      <c r="N189" s="68" t="s">
        <v>29</v>
      </c>
      <c r="O189" s="68" t="s">
        <v>30</v>
      </c>
      <c r="P189" s="69">
        <v>45426.512499999997</v>
      </c>
      <c r="Q189" s="70"/>
      <c r="R189" s="70" t="s">
        <v>47</v>
      </c>
      <c r="S189" s="71">
        <v>45408.617361111101</v>
      </c>
      <c r="T189" s="72"/>
      <c r="U189" s="63">
        <v>45565.511805555601</v>
      </c>
      <c r="V189" s="64">
        <v>-27</v>
      </c>
    </row>
    <row r="190" spans="1:22" ht="11.25" x14ac:dyDescent="0.2">
      <c r="A190" s="65">
        <v>305944</v>
      </c>
      <c r="B190" s="65" t="s">
        <v>794</v>
      </c>
      <c r="C190" s="66" t="s">
        <v>795</v>
      </c>
      <c r="D190" s="66" t="s">
        <v>795</v>
      </c>
      <c r="E190" s="67" t="s">
        <v>439</v>
      </c>
      <c r="F190" s="66" t="s">
        <v>440</v>
      </c>
      <c r="G190" s="67" t="s">
        <v>23</v>
      </c>
      <c r="H190" s="65" t="s">
        <v>22</v>
      </c>
      <c r="I190" s="67" t="s">
        <v>24</v>
      </c>
      <c r="J190" s="67" t="s">
        <v>509</v>
      </c>
      <c r="K190" s="67" t="s">
        <v>510</v>
      </c>
      <c r="L190" s="65" t="s">
        <v>36</v>
      </c>
      <c r="M190" s="68" t="s">
        <v>37</v>
      </c>
      <c r="N190" s="68" t="s">
        <v>83</v>
      </c>
      <c r="O190" s="68" t="s">
        <v>84</v>
      </c>
      <c r="P190" s="69"/>
      <c r="Q190" s="70"/>
      <c r="R190" s="70" t="s">
        <v>31</v>
      </c>
      <c r="S190" s="71">
        <v>45383.429166666698</v>
      </c>
      <c r="T190" s="72" t="s">
        <v>85</v>
      </c>
      <c r="U190" s="63">
        <v>45508.412499999999</v>
      </c>
      <c r="V190" s="64">
        <v>30</v>
      </c>
    </row>
    <row r="191" spans="1:22" ht="11.25" x14ac:dyDescent="0.2">
      <c r="A191" s="65">
        <v>305954</v>
      </c>
      <c r="B191" s="65" t="s">
        <v>796</v>
      </c>
      <c r="C191" s="66" t="s">
        <v>797</v>
      </c>
      <c r="D191" s="66" t="s">
        <v>1425</v>
      </c>
      <c r="E191" s="67" t="s">
        <v>42</v>
      </c>
      <c r="F191" s="66" t="s">
        <v>43</v>
      </c>
      <c r="G191" s="67" t="s">
        <v>23</v>
      </c>
      <c r="H191" s="65" t="s">
        <v>22</v>
      </c>
      <c r="I191" s="67" t="s">
        <v>24</v>
      </c>
      <c r="J191" s="67" t="s">
        <v>469</v>
      </c>
      <c r="K191" s="67" t="s">
        <v>470</v>
      </c>
      <c r="L191" s="65" t="s">
        <v>36</v>
      </c>
      <c r="M191" s="68" t="s">
        <v>37</v>
      </c>
      <c r="N191" s="68" t="s">
        <v>29</v>
      </c>
      <c r="O191" s="68" t="s">
        <v>30</v>
      </c>
      <c r="P191" s="69">
        <v>45456.484722222202</v>
      </c>
      <c r="Q191" s="70"/>
      <c r="R191" s="70" t="s">
        <v>31</v>
      </c>
      <c r="S191" s="71">
        <v>45377.590972222199</v>
      </c>
      <c r="T191" s="72" t="s">
        <v>46</v>
      </c>
      <c r="U191" s="63">
        <v>45508.412499999999</v>
      </c>
      <c r="V191" s="64">
        <v>30</v>
      </c>
    </row>
    <row r="192" spans="1:22" ht="11.25" x14ac:dyDescent="0.2">
      <c r="A192" s="65">
        <v>305956</v>
      </c>
      <c r="B192" s="65" t="s">
        <v>798</v>
      </c>
      <c r="C192" s="66" t="s">
        <v>799</v>
      </c>
      <c r="D192" s="66" t="s">
        <v>799</v>
      </c>
      <c r="E192" s="67" t="s">
        <v>86</v>
      </c>
      <c r="F192" s="66" t="s">
        <v>87</v>
      </c>
      <c r="G192" s="67" t="s">
        <v>23</v>
      </c>
      <c r="H192" s="65" t="s">
        <v>22</v>
      </c>
      <c r="I192" s="67" t="s">
        <v>24</v>
      </c>
      <c r="J192" s="67" t="s">
        <v>649</v>
      </c>
      <c r="K192" s="67" t="s">
        <v>650</v>
      </c>
      <c r="L192" s="65" t="s">
        <v>36</v>
      </c>
      <c r="M192" s="68" t="s">
        <v>37</v>
      </c>
      <c r="N192" s="68" t="s">
        <v>29</v>
      </c>
      <c r="O192" s="68" t="s">
        <v>30</v>
      </c>
      <c r="P192" s="69"/>
      <c r="Q192" s="70"/>
      <c r="R192" s="70" t="s">
        <v>31</v>
      </c>
      <c r="S192" s="71">
        <v>45397.760416666701</v>
      </c>
      <c r="T192" s="72" t="s">
        <v>85</v>
      </c>
      <c r="U192" s="63">
        <v>45508.412499999999</v>
      </c>
      <c r="V192" s="64">
        <v>30</v>
      </c>
    </row>
    <row r="193" spans="1:22" ht="11.25" x14ac:dyDescent="0.2">
      <c r="A193" s="65">
        <v>305964</v>
      </c>
      <c r="B193" s="65" t="s">
        <v>800</v>
      </c>
      <c r="C193" s="66" t="s">
        <v>801</v>
      </c>
      <c r="D193" s="66" t="s">
        <v>801</v>
      </c>
      <c r="E193" s="67" t="s">
        <v>86</v>
      </c>
      <c r="F193" s="66" t="s">
        <v>87</v>
      </c>
      <c r="G193" s="67" t="s">
        <v>23</v>
      </c>
      <c r="H193" s="65" t="s">
        <v>22</v>
      </c>
      <c r="I193" s="67" t="s">
        <v>24</v>
      </c>
      <c r="J193" s="67" t="s">
        <v>509</v>
      </c>
      <c r="K193" s="67" t="s">
        <v>510</v>
      </c>
      <c r="L193" s="65" t="s">
        <v>36</v>
      </c>
      <c r="M193" s="68" t="s">
        <v>37</v>
      </c>
      <c r="N193" s="68" t="s">
        <v>29</v>
      </c>
      <c r="O193" s="68" t="s">
        <v>30</v>
      </c>
      <c r="P193" s="69">
        <v>45426.572222222203</v>
      </c>
      <c r="Q193" s="70"/>
      <c r="R193" s="70" t="s">
        <v>31</v>
      </c>
      <c r="S193" s="71">
        <v>45398.375694444403</v>
      </c>
      <c r="T193" s="72" t="s">
        <v>85</v>
      </c>
      <c r="U193" s="63">
        <v>45508.412499999999</v>
      </c>
      <c r="V193" s="64">
        <v>30</v>
      </c>
    </row>
    <row r="194" spans="1:22" ht="11.25" x14ac:dyDescent="0.2">
      <c r="A194" s="65">
        <v>305965</v>
      </c>
      <c r="B194" s="65" t="s">
        <v>802</v>
      </c>
      <c r="C194" s="66" t="s">
        <v>803</v>
      </c>
      <c r="D194" s="66" t="s">
        <v>803</v>
      </c>
      <c r="E194" s="67" t="s">
        <v>804</v>
      </c>
      <c r="F194" s="66" t="s">
        <v>805</v>
      </c>
      <c r="G194" s="67" t="s">
        <v>23</v>
      </c>
      <c r="H194" s="65" t="s">
        <v>34</v>
      </c>
      <c r="I194" s="67" t="s">
        <v>35</v>
      </c>
      <c r="J194" s="67" t="s">
        <v>114</v>
      </c>
      <c r="K194" s="67" t="s">
        <v>115</v>
      </c>
      <c r="L194" s="65" t="s">
        <v>36</v>
      </c>
      <c r="M194" s="68" t="s">
        <v>37</v>
      </c>
      <c r="N194" s="68" t="s">
        <v>29</v>
      </c>
      <c r="O194" s="68" t="s">
        <v>30</v>
      </c>
      <c r="P194" s="69">
        <v>45447.649305555598</v>
      </c>
      <c r="Q194" s="70"/>
      <c r="R194" s="70" t="s">
        <v>31</v>
      </c>
      <c r="S194" s="71">
        <v>45383.551388888904</v>
      </c>
      <c r="T194" s="72" t="s">
        <v>116</v>
      </c>
      <c r="U194" s="63">
        <v>45508.412499999999</v>
      </c>
      <c r="V194" s="64">
        <v>30</v>
      </c>
    </row>
    <row r="195" spans="1:22" ht="11.25" x14ac:dyDescent="0.2">
      <c r="A195" s="65">
        <v>305973</v>
      </c>
      <c r="B195" s="65" t="s">
        <v>806</v>
      </c>
      <c r="C195" s="66" t="s">
        <v>807</v>
      </c>
      <c r="D195" s="66" t="s">
        <v>807</v>
      </c>
      <c r="E195" s="67" t="s">
        <v>203</v>
      </c>
      <c r="F195" s="66" t="s">
        <v>204</v>
      </c>
      <c r="G195" s="67" t="s">
        <v>23</v>
      </c>
      <c r="H195" s="65" t="s">
        <v>34</v>
      </c>
      <c r="I195" s="67" t="s">
        <v>35</v>
      </c>
      <c r="J195" s="67" t="s">
        <v>121</v>
      </c>
      <c r="K195" s="67" t="s">
        <v>122</v>
      </c>
      <c r="L195" s="65" t="s">
        <v>36</v>
      </c>
      <c r="M195" s="68" t="s">
        <v>37</v>
      </c>
      <c r="N195" s="68" t="s">
        <v>83</v>
      </c>
      <c r="O195" s="68" t="s">
        <v>84</v>
      </c>
      <c r="P195" s="69">
        <v>45425.344444444403</v>
      </c>
      <c r="Q195" s="70"/>
      <c r="R195" s="70" t="s">
        <v>31</v>
      </c>
      <c r="S195" s="71">
        <v>45416.576388888898</v>
      </c>
      <c r="T195" s="72" t="s">
        <v>193</v>
      </c>
      <c r="U195" s="63">
        <v>45508.412499999999</v>
      </c>
      <c r="V195" s="64">
        <v>30</v>
      </c>
    </row>
    <row r="196" spans="1:22" ht="11.25" x14ac:dyDescent="0.2">
      <c r="A196" s="65">
        <v>305975</v>
      </c>
      <c r="B196" s="65" t="s">
        <v>810</v>
      </c>
      <c r="C196" s="66" t="s">
        <v>811</v>
      </c>
      <c r="D196" s="66" t="s">
        <v>811</v>
      </c>
      <c r="E196" s="67" t="s">
        <v>78</v>
      </c>
      <c r="F196" s="66" t="s">
        <v>79</v>
      </c>
      <c r="G196" s="67" t="s">
        <v>23</v>
      </c>
      <c r="H196" s="65" t="s">
        <v>22</v>
      </c>
      <c r="I196" s="67" t="s">
        <v>24</v>
      </c>
      <c r="J196" s="67" t="s">
        <v>808</v>
      </c>
      <c r="K196" s="67" t="s">
        <v>809</v>
      </c>
      <c r="L196" s="65" t="s">
        <v>36</v>
      </c>
      <c r="M196" s="68" t="s">
        <v>37</v>
      </c>
      <c r="N196" s="68" t="s">
        <v>29</v>
      </c>
      <c r="O196" s="68" t="s">
        <v>30</v>
      </c>
      <c r="P196" s="69">
        <v>45432.658333333296</v>
      </c>
      <c r="Q196" s="70"/>
      <c r="R196" s="70" t="s">
        <v>31</v>
      </c>
      <c r="S196" s="71">
        <v>45387.323611111096</v>
      </c>
      <c r="T196" s="72" t="s">
        <v>80</v>
      </c>
      <c r="U196" s="63">
        <v>45508.412499999999</v>
      </c>
      <c r="V196" s="64">
        <v>30</v>
      </c>
    </row>
    <row r="197" spans="1:22" ht="11.25" x14ac:dyDescent="0.2">
      <c r="A197" s="65">
        <v>305979</v>
      </c>
      <c r="B197" s="65" t="s">
        <v>812</v>
      </c>
      <c r="C197" s="66" t="s">
        <v>813</v>
      </c>
      <c r="D197" s="66" t="s">
        <v>813</v>
      </c>
      <c r="E197" s="67" t="s">
        <v>86</v>
      </c>
      <c r="F197" s="66" t="s">
        <v>87</v>
      </c>
      <c r="G197" s="67" t="s">
        <v>23</v>
      </c>
      <c r="H197" s="65" t="s">
        <v>22</v>
      </c>
      <c r="I197" s="67" t="s">
        <v>24</v>
      </c>
      <c r="J197" s="67" t="s">
        <v>509</v>
      </c>
      <c r="K197" s="67" t="s">
        <v>510</v>
      </c>
      <c r="L197" s="65" t="s">
        <v>36</v>
      </c>
      <c r="M197" s="68" t="s">
        <v>37</v>
      </c>
      <c r="N197" s="68" t="s">
        <v>29</v>
      </c>
      <c r="O197" s="68" t="s">
        <v>30</v>
      </c>
      <c r="P197" s="69">
        <v>45427.653472222199</v>
      </c>
      <c r="Q197" s="70"/>
      <c r="R197" s="70" t="s">
        <v>31</v>
      </c>
      <c r="S197" s="71">
        <v>45384.277777777803</v>
      </c>
      <c r="T197" s="72" t="s">
        <v>85</v>
      </c>
      <c r="U197" s="63">
        <v>45508.412499999999</v>
      </c>
      <c r="V197" s="64">
        <v>30</v>
      </c>
    </row>
    <row r="198" spans="1:22" ht="11.25" x14ac:dyDescent="0.2">
      <c r="A198" s="65">
        <v>305980</v>
      </c>
      <c r="B198" s="65" t="s">
        <v>814</v>
      </c>
      <c r="C198" s="66" t="s">
        <v>815</v>
      </c>
      <c r="D198" s="66" t="s">
        <v>815</v>
      </c>
      <c r="E198" s="67" t="s">
        <v>86</v>
      </c>
      <c r="F198" s="66" t="s">
        <v>87</v>
      </c>
      <c r="G198" s="67" t="s">
        <v>23</v>
      </c>
      <c r="H198" s="65" t="s">
        <v>22</v>
      </c>
      <c r="I198" s="67" t="s">
        <v>24</v>
      </c>
      <c r="J198" s="67" t="s">
        <v>509</v>
      </c>
      <c r="K198" s="67" t="s">
        <v>510</v>
      </c>
      <c r="L198" s="65" t="s">
        <v>36</v>
      </c>
      <c r="M198" s="68" t="s">
        <v>37</v>
      </c>
      <c r="N198" s="68" t="s">
        <v>29</v>
      </c>
      <c r="O198" s="68" t="s">
        <v>30</v>
      </c>
      <c r="P198" s="69"/>
      <c r="Q198" s="70"/>
      <c r="R198" s="70" t="s">
        <v>31</v>
      </c>
      <c r="S198" s="71">
        <v>45384.293749999997</v>
      </c>
      <c r="T198" s="72" t="s">
        <v>85</v>
      </c>
      <c r="U198" s="63">
        <v>45508.412499999999</v>
      </c>
      <c r="V198" s="64">
        <v>30</v>
      </c>
    </row>
    <row r="199" spans="1:22" ht="11.25" x14ac:dyDescent="0.2">
      <c r="A199" s="65">
        <v>305981</v>
      </c>
      <c r="B199" s="65" t="s">
        <v>816</v>
      </c>
      <c r="C199" s="66" t="s">
        <v>817</v>
      </c>
      <c r="D199" s="66" t="s">
        <v>818</v>
      </c>
      <c r="E199" s="67" t="s">
        <v>604</v>
      </c>
      <c r="F199" s="66" t="s">
        <v>605</v>
      </c>
      <c r="G199" s="67" t="s">
        <v>23</v>
      </c>
      <c r="H199" s="65" t="s">
        <v>49</v>
      </c>
      <c r="I199" s="67" t="s">
        <v>50</v>
      </c>
      <c r="J199" s="67" t="s">
        <v>808</v>
      </c>
      <c r="K199" s="67" t="s">
        <v>809</v>
      </c>
      <c r="L199" s="65" t="s">
        <v>36</v>
      </c>
      <c r="M199" s="68" t="s">
        <v>37</v>
      </c>
      <c r="N199" s="68" t="s">
        <v>29</v>
      </c>
      <c r="O199" s="68" t="s">
        <v>30</v>
      </c>
      <c r="P199" s="69">
        <v>45476.386805555601</v>
      </c>
      <c r="Q199" s="70"/>
      <c r="R199" s="70" t="s">
        <v>31</v>
      </c>
      <c r="S199" s="71">
        <v>45385.690972222197</v>
      </c>
      <c r="T199" s="72" t="s">
        <v>606</v>
      </c>
      <c r="U199" s="63">
        <v>45508.412499999999</v>
      </c>
      <c r="V199" s="64">
        <v>30</v>
      </c>
    </row>
    <row r="200" spans="1:22" ht="11.25" x14ac:dyDescent="0.2">
      <c r="A200" s="65">
        <v>305982</v>
      </c>
      <c r="B200" s="65" t="s">
        <v>819</v>
      </c>
      <c r="C200" s="66" t="s">
        <v>820</v>
      </c>
      <c r="D200" s="66" t="s">
        <v>820</v>
      </c>
      <c r="E200" s="67" t="s">
        <v>159</v>
      </c>
      <c r="F200" s="66" t="s">
        <v>160</v>
      </c>
      <c r="G200" s="67" t="s">
        <v>23</v>
      </c>
      <c r="H200" s="65" t="s">
        <v>34</v>
      </c>
      <c r="I200" s="67" t="s">
        <v>35</v>
      </c>
      <c r="J200" s="67" t="s">
        <v>808</v>
      </c>
      <c r="K200" s="67" t="s">
        <v>809</v>
      </c>
      <c r="L200" s="65" t="s">
        <v>36</v>
      </c>
      <c r="M200" s="68" t="s">
        <v>37</v>
      </c>
      <c r="N200" s="68" t="s">
        <v>29</v>
      </c>
      <c r="O200" s="68" t="s">
        <v>30</v>
      </c>
      <c r="P200" s="69">
        <v>45436.333333333299</v>
      </c>
      <c r="Q200" s="70"/>
      <c r="R200" s="70" t="s">
        <v>31</v>
      </c>
      <c r="S200" s="71">
        <v>45387.310416666704</v>
      </c>
      <c r="T200" s="72" t="s">
        <v>161</v>
      </c>
      <c r="U200" s="63">
        <v>45508.413194444402</v>
      </c>
      <c r="V200" s="64">
        <v>30</v>
      </c>
    </row>
    <row r="201" spans="1:22" ht="11.25" x14ac:dyDescent="0.2">
      <c r="A201" s="65">
        <v>305985</v>
      </c>
      <c r="B201" s="65" t="s">
        <v>821</v>
      </c>
      <c r="C201" s="66" t="s">
        <v>822</v>
      </c>
      <c r="D201" s="66" t="s">
        <v>822</v>
      </c>
      <c r="E201" s="67" t="s">
        <v>191</v>
      </c>
      <c r="F201" s="66" t="s">
        <v>192</v>
      </c>
      <c r="G201" s="67" t="s">
        <v>23</v>
      </c>
      <c r="H201" s="65" t="s">
        <v>22</v>
      </c>
      <c r="I201" s="67" t="s">
        <v>24</v>
      </c>
      <c r="J201" s="67" t="s">
        <v>808</v>
      </c>
      <c r="K201" s="67" t="s">
        <v>809</v>
      </c>
      <c r="L201" s="65" t="s">
        <v>36</v>
      </c>
      <c r="M201" s="68" t="s">
        <v>37</v>
      </c>
      <c r="N201" s="68" t="s">
        <v>29</v>
      </c>
      <c r="O201" s="68" t="s">
        <v>30</v>
      </c>
      <c r="P201" s="69">
        <v>45439.546527777798</v>
      </c>
      <c r="Q201" s="70"/>
      <c r="R201" s="70" t="s">
        <v>31</v>
      </c>
      <c r="S201" s="71">
        <v>45386.382638888899</v>
      </c>
      <c r="T201" s="72" t="s">
        <v>193</v>
      </c>
      <c r="U201" s="63">
        <v>45508.413194444402</v>
      </c>
      <c r="V201" s="64">
        <v>30</v>
      </c>
    </row>
    <row r="202" spans="1:22" ht="11.25" x14ac:dyDescent="0.2">
      <c r="A202" s="65">
        <v>305986</v>
      </c>
      <c r="B202" s="65" t="s">
        <v>823</v>
      </c>
      <c r="C202" s="66" t="s">
        <v>824</v>
      </c>
      <c r="D202" s="66" t="s">
        <v>824</v>
      </c>
      <c r="E202" s="67" t="s">
        <v>159</v>
      </c>
      <c r="F202" s="66" t="s">
        <v>160</v>
      </c>
      <c r="G202" s="67" t="s">
        <v>23</v>
      </c>
      <c r="H202" s="65" t="s">
        <v>34</v>
      </c>
      <c r="I202" s="67" t="s">
        <v>35</v>
      </c>
      <c r="J202" s="67" t="s">
        <v>25</v>
      </c>
      <c r="K202" s="67" t="s">
        <v>26</v>
      </c>
      <c r="L202" s="65" t="s">
        <v>36</v>
      </c>
      <c r="M202" s="68" t="s">
        <v>37</v>
      </c>
      <c r="N202" s="68" t="s">
        <v>29</v>
      </c>
      <c r="O202" s="68" t="s">
        <v>30</v>
      </c>
      <c r="P202" s="69">
        <v>45436.545138888898</v>
      </c>
      <c r="Q202" s="70"/>
      <c r="R202" s="70" t="s">
        <v>47</v>
      </c>
      <c r="S202" s="71">
        <v>45149.647916666698</v>
      </c>
      <c r="T202" s="72" t="s">
        <v>161</v>
      </c>
      <c r="U202" s="63">
        <v>45568.413194444402</v>
      </c>
      <c r="V202" s="64">
        <v>-30</v>
      </c>
    </row>
    <row r="203" spans="1:22" ht="11.25" x14ac:dyDescent="0.2">
      <c r="A203" s="65">
        <v>305990</v>
      </c>
      <c r="B203" s="65" t="s">
        <v>977</v>
      </c>
      <c r="C203" s="66" t="s">
        <v>825</v>
      </c>
      <c r="D203" s="66" t="s">
        <v>825</v>
      </c>
      <c r="E203" s="67" t="s">
        <v>673</v>
      </c>
      <c r="F203" s="66" t="s">
        <v>674</v>
      </c>
      <c r="G203" s="67" t="s">
        <v>23</v>
      </c>
      <c r="H203" s="65" t="s">
        <v>81</v>
      </c>
      <c r="I203" s="67" t="s">
        <v>82</v>
      </c>
      <c r="J203" s="67" t="s">
        <v>226</v>
      </c>
      <c r="K203" s="67" t="s">
        <v>227</v>
      </c>
      <c r="L203" s="65" t="s">
        <v>36</v>
      </c>
      <c r="M203" s="68" t="s">
        <v>37</v>
      </c>
      <c r="N203" s="68" t="s">
        <v>57</v>
      </c>
      <c r="O203" s="68" t="s">
        <v>58</v>
      </c>
      <c r="P203" s="69">
        <v>45427.625694444403</v>
      </c>
      <c r="Q203" s="70"/>
      <c r="R203" s="70" t="s">
        <v>31</v>
      </c>
      <c r="S203" s="71">
        <v>45388.596527777801</v>
      </c>
      <c r="T203" s="72" t="s">
        <v>85</v>
      </c>
      <c r="U203" s="63">
        <v>45508.413194444402</v>
      </c>
      <c r="V203" s="64">
        <v>30</v>
      </c>
    </row>
    <row r="204" spans="1:22" ht="11.25" x14ac:dyDescent="0.2">
      <c r="A204" s="65">
        <v>305998</v>
      </c>
      <c r="B204" s="65" t="s">
        <v>826</v>
      </c>
      <c r="C204" s="66" t="s">
        <v>827</v>
      </c>
      <c r="D204" s="66" t="s">
        <v>827</v>
      </c>
      <c r="E204" s="67" t="s">
        <v>828</v>
      </c>
      <c r="F204" s="66" t="s">
        <v>829</v>
      </c>
      <c r="G204" s="67" t="s">
        <v>23</v>
      </c>
      <c r="H204" s="65" t="s">
        <v>22</v>
      </c>
      <c r="I204" s="67" t="s">
        <v>24</v>
      </c>
      <c r="J204" s="67" t="s">
        <v>66</v>
      </c>
      <c r="K204" s="67" t="s">
        <v>67</v>
      </c>
      <c r="L204" s="65" t="s">
        <v>36</v>
      </c>
      <c r="M204" s="68" t="s">
        <v>37</v>
      </c>
      <c r="N204" s="68" t="s">
        <v>29</v>
      </c>
      <c r="O204" s="68" t="s">
        <v>30</v>
      </c>
      <c r="P204" s="69"/>
      <c r="Q204" s="70"/>
      <c r="R204" s="70" t="s">
        <v>31</v>
      </c>
      <c r="S204" s="71">
        <v>45412.597916666702</v>
      </c>
      <c r="T204" s="72" t="s">
        <v>85</v>
      </c>
      <c r="U204" s="63">
        <v>45508.413194444402</v>
      </c>
      <c r="V204" s="64">
        <v>30</v>
      </c>
    </row>
    <row r="205" spans="1:22" ht="11.25" x14ac:dyDescent="0.2">
      <c r="A205" s="65">
        <v>306001</v>
      </c>
      <c r="B205" s="65" t="s">
        <v>830</v>
      </c>
      <c r="C205" s="66" t="s">
        <v>831</v>
      </c>
      <c r="D205" s="66" t="s">
        <v>831</v>
      </c>
      <c r="E205" s="67" t="s">
        <v>92</v>
      </c>
      <c r="F205" s="66" t="s">
        <v>93</v>
      </c>
      <c r="G205" s="67" t="s">
        <v>23</v>
      </c>
      <c r="H205" s="65" t="s">
        <v>53</v>
      </c>
      <c r="I205" s="67" t="s">
        <v>54</v>
      </c>
      <c r="J205" s="67" t="s">
        <v>66</v>
      </c>
      <c r="K205" s="67" t="s">
        <v>67</v>
      </c>
      <c r="L205" s="65" t="s">
        <v>36</v>
      </c>
      <c r="M205" s="68" t="s">
        <v>37</v>
      </c>
      <c r="N205" s="68" t="s">
        <v>29</v>
      </c>
      <c r="O205" s="68" t="s">
        <v>30</v>
      </c>
      <c r="P205" s="69">
        <v>45469.618055555598</v>
      </c>
      <c r="Q205" s="70"/>
      <c r="R205" s="70" t="s">
        <v>31</v>
      </c>
      <c r="S205" s="71">
        <v>45404.569444444402</v>
      </c>
      <c r="T205" s="72" t="s">
        <v>96</v>
      </c>
      <c r="U205" s="63">
        <v>45508.413194444402</v>
      </c>
      <c r="V205" s="64">
        <v>30</v>
      </c>
    </row>
    <row r="206" spans="1:22" ht="11.25" x14ac:dyDescent="0.2">
      <c r="A206" s="65">
        <v>306004</v>
      </c>
      <c r="B206" s="65" t="s">
        <v>834</v>
      </c>
      <c r="C206" s="66" t="s">
        <v>835</v>
      </c>
      <c r="D206" s="66" t="s">
        <v>1027</v>
      </c>
      <c r="E206" s="67" t="s">
        <v>514</v>
      </c>
      <c r="F206" s="66" t="s">
        <v>515</v>
      </c>
      <c r="G206" s="67" t="s">
        <v>23</v>
      </c>
      <c r="H206" s="65" t="s">
        <v>22</v>
      </c>
      <c r="I206" s="67" t="s">
        <v>24</v>
      </c>
      <c r="J206" s="67" t="s">
        <v>128</v>
      </c>
      <c r="K206" s="67" t="s">
        <v>129</v>
      </c>
      <c r="L206" s="65" t="s">
        <v>36</v>
      </c>
      <c r="M206" s="68" t="s">
        <v>37</v>
      </c>
      <c r="N206" s="68" t="s">
        <v>29</v>
      </c>
      <c r="O206" s="68" t="s">
        <v>30</v>
      </c>
      <c r="P206" s="69">
        <v>45453.511805555601</v>
      </c>
      <c r="Q206" s="70"/>
      <c r="R206" s="70" t="s">
        <v>31</v>
      </c>
      <c r="S206" s="71">
        <v>45407.750694444403</v>
      </c>
      <c r="T206" s="72" t="s">
        <v>116</v>
      </c>
      <c r="U206" s="63">
        <v>45508.413194444402</v>
      </c>
      <c r="V206" s="64">
        <v>30</v>
      </c>
    </row>
    <row r="207" spans="1:22" ht="11.25" x14ac:dyDescent="0.2">
      <c r="A207" s="65">
        <v>306006</v>
      </c>
      <c r="B207" s="65" t="s">
        <v>836</v>
      </c>
      <c r="C207" s="66" t="s">
        <v>837</v>
      </c>
      <c r="D207" s="66" t="s">
        <v>837</v>
      </c>
      <c r="E207" s="67" t="s">
        <v>838</v>
      </c>
      <c r="F207" s="66" t="s">
        <v>839</v>
      </c>
      <c r="G207" s="67" t="s">
        <v>23</v>
      </c>
      <c r="H207" s="65" t="s">
        <v>34</v>
      </c>
      <c r="I207" s="67" t="s">
        <v>35</v>
      </c>
      <c r="J207" s="67" t="s">
        <v>128</v>
      </c>
      <c r="K207" s="67" t="s">
        <v>129</v>
      </c>
      <c r="L207" s="65" t="s">
        <v>36</v>
      </c>
      <c r="M207" s="68" t="s">
        <v>37</v>
      </c>
      <c r="N207" s="68" t="s">
        <v>29</v>
      </c>
      <c r="O207" s="68" t="s">
        <v>30</v>
      </c>
      <c r="P207" s="69">
        <v>45436.333333333299</v>
      </c>
      <c r="Q207" s="70"/>
      <c r="R207" s="70" t="s">
        <v>31</v>
      </c>
      <c r="S207" s="71">
        <v>45407.763888888898</v>
      </c>
      <c r="T207" s="72" t="s">
        <v>116</v>
      </c>
      <c r="U207" s="63">
        <v>45497.763888888898</v>
      </c>
      <c r="V207" s="64">
        <v>41</v>
      </c>
    </row>
    <row r="208" spans="1:22" ht="11.25" x14ac:dyDescent="0.2">
      <c r="A208" s="65">
        <v>306009</v>
      </c>
      <c r="B208" s="65" t="s">
        <v>840</v>
      </c>
      <c r="C208" s="66" t="s">
        <v>841</v>
      </c>
      <c r="D208" s="66" t="s">
        <v>841</v>
      </c>
      <c r="E208" s="67" t="s">
        <v>396</v>
      </c>
      <c r="F208" s="66" t="s">
        <v>397</v>
      </c>
      <c r="G208" s="67" t="s">
        <v>23</v>
      </c>
      <c r="H208" s="65" t="s">
        <v>81</v>
      </c>
      <c r="I208" s="67" t="s">
        <v>82</v>
      </c>
      <c r="J208" s="67" t="s">
        <v>509</v>
      </c>
      <c r="K208" s="67" t="s">
        <v>510</v>
      </c>
      <c r="L208" s="65" t="s">
        <v>36</v>
      </c>
      <c r="M208" s="68" t="s">
        <v>37</v>
      </c>
      <c r="N208" s="68" t="s">
        <v>38</v>
      </c>
      <c r="O208" s="68" t="s">
        <v>39</v>
      </c>
      <c r="P208" s="69">
        <v>45421.431944444397</v>
      </c>
      <c r="Q208" s="70"/>
      <c r="R208" s="70" t="s">
        <v>31</v>
      </c>
      <c r="S208" s="71">
        <v>45384.472916666702</v>
      </c>
      <c r="T208" s="72" t="s">
        <v>398</v>
      </c>
      <c r="U208" s="63">
        <v>45508.413194444402</v>
      </c>
      <c r="V208" s="64">
        <v>30</v>
      </c>
    </row>
    <row r="209" spans="1:22" ht="11.25" x14ac:dyDescent="0.2">
      <c r="A209" s="65">
        <v>306010</v>
      </c>
      <c r="B209" s="65" t="s">
        <v>842</v>
      </c>
      <c r="C209" s="66" t="s">
        <v>843</v>
      </c>
      <c r="D209" s="66" t="s">
        <v>843</v>
      </c>
      <c r="E209" s="67" t="s">
        <v>396</v>
      </c>
      <c r="F209" s="66" t="s">
        <v>397</v>
      </c>
      <c r="G209" s="67" t="s">
        <v>23</v>
      </c>
      <c r="H209" s="65" t="s">
        <v>22</v>
      </c>
      <c r="I209" s="67" t="s">
        <v>24</v>
      </c>
      <c r="J209" s="67" t="s">
        <v>509</v>
      </c>
      <c r="K209" s="67" t="s">
        <v>510</v>
      </c>
      <c r="L209" s="65" t="s">
        <v>36</v>
      </c>
      <c r="M209" s="68" t="s">
        <v>37</v>
      </c>
      <c r="N209" s="68" t="s">
        <v>29</v>
      </c>
      <c r="O209" s="68" t="s">
        <v>30</v>
      </c>
      <c r="P209" s="69">
        <v>45475.574999999997</v>
      </c>
      <c r="Q209" s="70"/>
      <c r="R209" s="70" t="s">
        <v>40</v>
      </c>
      <c r="S209" s="71">
        <v>45406.335416666698</v>
      </c>
      <c r="T209" s="72" t="s">
        <v>398</v>
      </c>
      <c r="U209" s="63">
        <v>45418.413194444402</v>
      </c>
      <c r="V209" s="64">
        <v>120</v>
      </c>
    </row>
    <row r="210" spans="1:22" ht="11.25" x14ac:dyDescent="0.2">
      <c r="A210" s="65">
        <v>306011</v>
      </c>
      <c r="B210" s="65" t="s">
        <v>844</v>
      </c>
      <c r="C210" s="66" t="s">
        <v>845</v>
      </c>
      <c r="D210" s="66" t="s">
        <v>845</v>
      </c>
      <c r="E210" s="67" t="s">
        <v>86</v>
      </c>
      <c r="F210" s="66" t="s">
        <v>87</v>
      </c>
      <c r="G210" s="67" t="s">
        <v>23</v>
      </c>
      <c r="H210" s="65" t="s">
        <v>22</v>
      </c>
      <c r="I210" s="67" t="s">
        <v>24</v>
      </c>
      <c r="J210" s="67" t="s">
        <v>649</v>
      </c>
      <c r="K210" s="67" t="s">
        <v>650</v>
      </c>
      <c r="L210" s="65" t="s">
        <v>36</v>
      </c>
      <c r="M210" s="68" t="s">
        <v>37</v>
      </c>
      <c r="N210" s="68" t="s">
        <v>29</v>
      </c>
      <c r="O210" s="68" t="s">
        <v>30</v>
      </c>
      <c r="P210" s="69"/>
      <c r="Q210" s="70"/>
      <c r="R210" s="70" t="s">
        <v>31</v>
      </c>
      <c r="S210" s="71">
        <v>45384.559027777803</v>
      </c>
      <c r="T210" s="72" t="s">
        <v>85</v>
      </c>
      <c r="U210" s="63">
        <v>45508.413194444402</v>
      </c>
      <c r="V210" s="64">
        <v>30</v>
      </c>
    </row>
    <row r="211" spans="1:22" ht="11.25" x14ac:dyDescent="0.2">
      <c r="A211" s="65">
        <v>306014</v>
      </c>
      <c r="B211" s="65" t="s">
        <v>846</v>
      </c>
      <c r="C211" s="66" t="s">
        <v>847</v>
      </c>
      <c r="D211" s="66" t="s">
        <v>847</v>
      </c>
      <c r="E211" s="67" t="s">
        <v>63</v>
      </c>
      <c r="F211" s="66" t="s">
        <v>64</v>
      </c>
      <c r="G211" s="67" t="s">
        <v>33</v>
      </c>
      <c r="H211" s="65" t="s">
        <v>34</v>
      </c>
      <c r="I211" s="67" t="s">
        <v>35</v>
      </c>
      <c r="J211" s="67" t="s">
        <v>325</v>
      </c>
      <c r="K211" s="67" t="s">
        <v>326</v>
      </c>
      <c r="L211" s="65" t="s">
        <v>36</v>
      </c>
      <c r="M211" s="68" t="s">
        <v>37</v>
      </c>
      <c r="N211" s="68" t="s">
        <v>38</v>
      </c>
      <c r="O211" s="68" t="s">
        <v>39</v>
      </c>
      <c r="P211" s="69">
        <v>45421.375</v>
      </c>
      <c r="Q211" s="70"/>
      <c r="R211" s="70" t="s">
        <v>40</v>
      </c>
      <c r="S211" s="71">
        <v>45404.433333333298</v>
      </c>
      <c r="T211" s="72" t="s">
        <v>65</v>
      </c>
      <c r="U211" s="63">
        <v>45418.413194444402</v>
      </c>
      <c r="V211" s="64">
        <v>120</v>
      </c>
    </row>
    <row r="212" spans="1:22" ht="11.25" x14ac:dyDescent="0.2">
      <c r="A212" s="65">
        <v>306016</v>
      </c>
      <c r="B212" s="65" t="s">
        <v>848</v>
      </c>
      <c r="C212" s="66" t="s">
        <v>849</v>
      </c>
      <c r="D212" s="66" t="s">
        <v>849</v>
      </c>
      <c r="E212" s="67" t="s">
        <v>850</v>
      </c>
      <c r="F212" s="66" t="s">
        <v>851</v>
      </c>
      <c r="G212" s="67" t="s">
        <v>33</v>
      </c>
      <c r="H212" s="65" t="s">
        <v>81</v>
      </c>
      <c r="I212" s="67" t="s">
        <v>82</v>
      </c>
      <c r="J212" s="67" t="s">
        <v>482</v>
      </c>
      <c r="K212" s="67" t="s">
        <v>483</v>
      </c>
      <c r="L212" s="65" t="s">
        <v>36</v>
      </c>
      <c r="M212" s="68" t="s">
        <v>37</v>
      </c>
      <c r="N212" s="68" t="s">
        <v>51</v>
      </c>
      <c r="O212" s="68" t="s">
        <v>52</v>
      </c>
      <c r="P212" s="69">
        <v>45419.333333333299</v>
      </c>
      <c r="Q212" s="70"/>
      <c r="R212" s="70" t="s">
        <v>31</v>
      </c>
      <c r="S212" s="71">
        <v>45415.413194444402</v>
      </c>
      <c r="T212" s="72" t="s">
        <v>596</v>
      </c>
      <c r="U212" s="63">
        <v>45508.413194444402</v>
      </c>
      <c r="V212" s="64">
        <v>30</v>
      </c>
    </row>
    <row r="213" spans="1:22" ht="11.25" x14ac:dyDescent="0.2">
      <c r="A213" s="65">
        <v>306017</v>
      </c>
      <c r="B213" s="65" t="s">
        <v>852</v>
      </c>
      <c r="C213" s="66" t="s">
        <v>853</v>
      </c>
      <c r="D213" s="66" t="s">
        <v>854</v>
      </c>
      <c r="E213" s="67" t="s">
        <v>63</v>
      </c>
      <c r="F213" s="66" t="s">
        <v>64</v>
      </c>
      <c r="G213" s="67" t="s">
        <v>33</v>
      </c>
      <c r="H213" s="65" t="s">
        <v>34</v>
      </c>
      <c r="I213" s="67" t="s">
        <v>35</v>
      </c>
      <c r="J213" s="67" t="s">
        <v>265</v>
      </c>
      <c r="K213" s="67" t="s">
        <v>266</v>
      </c>
      <c r="L213" s="65" t="s">
        <v>36</v>
      </c>
      <c r="M213" s="68" t="s">
        <v>37</v>
      </c>
      <c r="N213" s="68" t="s">
        <v>38</v>
      </c>
      <c r="O213" s="68" t="s">
        <v>39</v>
      </c>
      <c r="P213" s="69">
        <v>45421.375</v>
      </c>
      <c r="Q213" s="70"/>
      <c r="R213" s="70" t="s">
        <v>31</v>
      </c>
      <c r="S213" s="71">
        <v>45401.4909722222</v>
      </c>
      <c r="T213" s="72" t="s">
        <v>65</v>
      </c>
      <c r="U213" s="63">
        <v>45508.413194444402</v>
      </c>
      <c r="V213" s="64">
        <v>30</v>
      </c>
    </row>
    <row r="214" spans="1:22" ht="11.25" x14ac:dyDescent="0.2">
      <c r="A214" s="65">
        <v>306024</v>
      </c>
      <c r="B214" s="65" t="s">
        <v>857</v>
      </c>
      <c r="C214" s="66" t="s">
        <v>858</v>
      </c>
      <c r="D214" s="66" t="s">
        <v>859</v>
      </c>
      <c r="E214" s="67" t="s">
        <v>493</v>
      </c>
      <c r="F214" s="66" t="s">
        <v>494</v>
      </c>
      <c r="G214" s="67" t="s">
        <v>33</v>
      </c>
      <c r="H214" s="65" t="s">
        <v>49</v>
      </c>
      <c r="I214" s="67" t="s">
        <v>50</v>
      </c>
      <c r="J214" s="67" t="s">
        <v>66</v>
      </c>
      <c r="K214" s="67" t="s">
        <v>67</v>
      </c>
      <c r="L214" s="65" t="s">
        <v>36</v>
      </c>
      <c r="M214" s="68" t="s">
        <v>37</v>
      </c>
      <c r="N214" s="68" t="s">
        <v>57</v>
      </c>
      <c r="O214" s="68" t="s">
        <v>58</v>
      </c>
      <c r="P214" s="69">
        <v>45528.354166666701</v>
      </c>
      <c r="Q214" s="70"/>
      <c r="R214" s="70" t="s">
        <v>31</v>
      </c>
      <c r="S214" s="71">
        <v>45408.6965277778</v>
      </c>
      <c r="T214" s="72" t="s">
        <v>62</v>
      </c>
      <c r="U214" s="63">
        <v>45508.413194444402</v>
      </c>
      <c r="V214" s="64">
        <v>30</v>
      </c>
    </row>
    <row r="215" spans="1:22" ht="11.25" x14ac:dyDescent="0.2">
      <c r="A215" s="65">
        <v>306025</v>
      </c>
      <c r="B215" s="65" t="s">
        <v>860</v>
      </c>
      <c r="C215" s="66" t="s">
        <v>861</v>
      </c>
      <c r="D215" s="66" t="s">
        <v>861</v>
      </c>
      <c r="E215" s="67" t="s">
        <v>63</v>
      </c>
      <c r="F215" s="66" t="s">
        <v>64</v>
      </c>
      <c r="G215" s="67" t="s">
        <v>33</v>
      </c>
      <c r="H215" s="65" t="s">
        <v>179</v>
      </c>
      <c r="I215" s="67" t="s">
        <v>180</v>
      </c>
      <c r="J215" s="67" t="s">
        <v>415</v>
      </c>
      <c r="K215" s="67" t="s">
        <v>416</v>
      </c>
      <c r="L215" s="65" t="s">
        <v>36</v>
      </c>
      <c r="M215" s="68" t="s">
        <v>37</v>
      </c>
      <c r="N215" s="68" t="s">
        <v>90</v>
      </c>
      <c r="O215" s="68" t="s">
        <v>91</v>
      </c>
      <c r="P215" s="69"/>
      <c r="Q215" s="70"/>
      <c r="R215" s="70" t="s">
        <v>31</v>
      </c>
      <c r="S215" s="71">
        <v>45413.65625</v>
      </c>
      <c r="T215" s="72" t="s">
        <v>65</v>
      </c>
      <c r="U215" s="63">
        <v>45503.65625</v>
      </c>
      <c r="V215" s="64">
        <v>35</v>
      </c>
    </row>
    <row r="216" spans="1:22" ht="11.25" x14ac:dyDescent="0.2">
      <c r="A216" s="65">
        <v>306026</v>
      </c>
      <c r="B216" s="65" t="s">
        <v>862</v>
      </c>
      <c r="C216" s="66" t="s">
        <v>863</v>
      </c>
      <c r="D216" s="66" t="s">
        <v>863</v>
      </c>
      <c r="E216" s="67" t="s">
        <v>561</v>
      </c>
      <c r="F216" s="66" t="s">
        <v>562</v>
      </c>
      <c r="G216" s="67" t="s">
        <v>33</v>
      </c>
      <c r="H216" s="65" t="s">
        <v>34</v>
      </c>
      <c r="I216" s="67" t="s">
        <v>35</v>
      </c>
      <c r="J216" s="67" t="s">
        <v>66</v>
      </c>
      <c r="K216" s="67" t="s">
        <v>67</v>
      </c>
      <c r="L216" s="65" t="s">
        <v>36</v>
      </c>
      <c r="M216" s="68" t="s">
        <v>37</v>
      </c>
      <c r="N216" s="68" t="s">
        <v>76</v>
      </c>
      <c r="O216" s="68" t="s">
        <v>77</v>
      </c>
      <c r="P216" s="69">
        <v>45523.409722222197</v>
      </c>
      <c r="Q216" s="70"/>
      <c r="R216" s="70" t="s">
        <v>40</v>
      </c>
      <c r="S216" s="71">
        <v>45388.382638888899</v>
      </c>
      <c r="T216" s="72" t="s">
        <v>59</v>
      </c>
      <c r="U216" s="63">
        <v>45418.413194444402</v>
      </c>
      <c r="V216" s="64">
        <v>120</v>
      </c>
    </row>
    <row r="217" spans="1:22" ht="11.25" x14ac:dyDescent="0.2">
      <c r="A217" s="65">
        <v>306027</v>
      </c>
      <c r="B217" s="65" t="s">
        <v>864</v>
      </c>
      <c r="C217" s="66" t="s">
        <v>865</v>
      </c>
      <c r="D217" s="66" t="s">
        <v>865</v>
      </c>
      <c r="E217" s="67" t="s">
        <v>589</v>
      </c>
      <c r="F217" s="66" t="s">
        <v>590</v>
      </c>
      <c r="G217" s="67" t="s">
        <v>33</v>
      </c>
      <c r="H217" s="65" t="s">
        <v>49</v>
      </c>
      <c r="I217" s="67" t="s">
        <v>50</v>
      </c>
      <c r="J217" s="67" t="s">
        <v>66</v>
      </c>
      <c r="K217" s="67" t="s">
        <v>67</v>
      </c>
      <c r="L217" s="65" t="s">
        <v>36</v>
      </c>
      <c r="M217" s="68" t="s">
        <v>37</v>
      </c>
      <c r="N217" s="68" t="s">
        <v>57</v>
      </c>
      <c r="O217" s="68" t="s">
        <v>58</v>
      </c>
      <c r="P217" s="69">
        <v>45425.345138888901</v>
      </c>
      <c r="Q217" s="70"/>
      <c r="R217" s="70" t="s">
        <v>40</v>
      </c>
      <c r="S217" s="71">
        <v>45388.384722222203</v>
      </c>
      <c r="T217" s="72" t="s">
        <v>479</v>
      </c>
      <c r="U217" s="63">
        <v>45418.413194444402</v>
      </c>
      <c r="V217" s="64">
        <v>120</v>
      </c>
    </row>
    <row r="218" spans="1:22" ht="11.25" x14ac:dyDescent="0.2">
      <c r="A218" s="65">
        <v>306049</v>
      </c>
      <c r="B218" s="65" t="s">
        <v>868</v>
      </c>
      <c r="C218" s="66" t="s">
        <v>869</v>
      </c>
      <c r="D218" s="66" t="s">
        <v>869</v>
      </c>
      <c r="E218" s="67" t="s">
        <v>196</v>
      </c>
      <c r="F218" s="66" t="s">
        <v>197</v>
      </c>
      <c r="G218" s="67" t="s">
        <v>23</v>
      </c>
      <c r="H218" s="65" t="s">
        <v>34</v>
      </c>
      <c r="I218" s="67" t="s">
        <v>35</v>
      </c>
      <c r="J218" s="67" t="s">
        <v>121</v>
      </c>
      <c r="K218" s="67" t="s">
        <v>122</v>
      </c>
      <c r="L218" s="65" t="s">
        <v>36</v>
      </c>
      <c r="M218" s="68" t="s">
        <v>37</v>
      </c>
      <c r="N218" s="68" t="s">
        <v>29</v>
      </c>
      <c r="O218" s="68" t="s">
        <v>30</v>
      </c>
      <c r="P218" s="69">
        <v>45427.660416666702</v>
      </c>
      <c r="Q218" s="70"/>
      <c r="R218" s="70" t="s">
        <v>31</v>
      </c>
      <c r="S218" s="71">
        <v>45378.468055555597</v>
      </c>
      <c r="T218" s="72" t="s">
        <v>198</v>
      </c>
      <c r="U218" s="63">
        <v>45516.668055555601</v>
      </c>
      <c r="V218" s="64">
        <v>22</v>
      </c>
    </row>
    <row r="219" spans="1:22" ht="11.25" x14ac:dyDescent="0.2">
      <c r="A219" s="65">
        <v>306053</v>
      </c>
      <c r="B219" s="65" t="s">
        <v>870</v>
      </c>
      <c r="C219" s="66" t="s">
        <v>871</v>
      </c>
      <c r="D219" s="66" t="s">
        <v>871</v>
      </c>
      <c r="E219" s="67" t="s">
        <v>159</v>
      </c>
      <c r="F219" s="66" t="s">
        <v>160</v>
      </c>
      <c r="G219" s="67" t="s">
        <v>23</v>
      </c>
      <c r="H219" s="65" t="s">
        <v>34</v>
      </c>
      <c r="I219" s="67" t="s">
        <v>35</v>
      </c>
      <c r="J219" s="67" t="s">
        <v>121</v>
      </c>
      <c r="K219" s="67" t="s">
        <v>122</v>
      </c>
      <c r="L219" s="65" t="s">
        <v>36</v>
      </c>
      <c r="M219" s="68" t="s">
        <v>37</v>
      </c>
      <c r="N219" s="68" t="s">
        <v>29</v>
      </c>
      <c r="O219" s="68" t="s">
        <v>30</v>
      </c>
      <c r="P219" s="69">
        <v>45427.661111111098</v>
      </c>
      <c r="Q219" s="70"/>
      <c r="R219" s="70" t="s">
        <v>31</v>
      </c>
      <c r="S219" s="71">
        <v>45378.354166666701</v>
      </c>
      <c r="T219" s="72" t="s">
        <v>161</v>
      </c>
      <c r="U219" s="63">
        <v>45516.668055555601</v>
      </c>
      <c r="V219" s="64">
        <v>22</v>
      </c>
    </row>
    <row r="220" spans="1:22" ht="11.25" x14ac:dyDescent="0.2">
      <c r="A220" s="65">
        <v>306055</v>
      </c>
      <c r="B220" s="65" t="s">
        <v>872</v>
      </c>
      <c r="C220" s="66" t="s">
        <v>1426</v>
      </c>
      <c r="D220" s="66" t="s">
        <v>1426</v>
      </c>
      <c r="E220" s="67" t="s">
        <v>632</v>
      </c>
      <c r="F220" s="66" t="s">
        <v>633</v>
      </c>
      <c r="G220" s="67" t="s">
        <v>23</v>
      </c>
      <c r="H220" s="65" t="s">
        <v>179</v>
      </c>
      <c r="I220" s="67" t="s">
        <v>180</v>
      </c>
      <c r="J220" s="67" t="s">
        <v>634</v>
      </c>
      <c r="K220" s="67" t="s">
        <v>635</v>
      </c>
      <c r="L220" s="65" t="s">
        <v>36</v>
      </c>
      <c r="M220" s="68" t="s">
        <v>37</v>
      </c>
      <c r="N220" s="68" t="s">
        <v>29</v>
      </c>
      <c r="O220" s="68" t="s">
        <v>30</v>
      </c>
      <c r="P220" s="69"/>
      <c r="Q220" s="70"/>
      <c r="R220" s="70" t="s">
        <v>31</v>
      </c>
      <c r="S220" s="71">
        <v>45425.445833333302</v>
      </c>
      <c r="T220" s="72" t="s">
        <v>99</v>
      </c>
      <c r="U220" s="63">
        <v>45516.668055555601</v>
      </c>
      <c r="V220" s="64">
        <v>22</v>
      </c>
    </row>
    <row r="221" spans="1:22" ht="11.25" x14ac:dyDescent="0.2">
      <c r="A221" s="65">
        <v>306057</v>
      </c>
      <c r="B221" s="65" t="s">
        <v>1462</v>
      </c>
      <c r="C221" s="66" t="s">
        <v>1463</v>
      </c>
      <c r="D221" s="66" t="s">
        <v>1464</v>
      </c>
      <c r="E221" s="67" t="s">
        <v>42</v>
      </c>
      <c r="F221" s="66" t="s">
        <v>43</v>
      </c>
      <c r="G221" s="67" t="s">
        <v>23</v>
      </c>
      <c r="H221" s="65" t="s">
        <v>467</v>
      </c>
      <c r="I221" s="67" t="s">
        <v>468</v>
      </c>
      <c r="J221" s="67" t="s">
        <v>469</v>
      </c>
      <c r="K221" s="67" t="s">
        <v>470</v>
      </c>
      <c r="L221" s="65" t="s">
        <v>36</v>
      </c>
      <c r="M221" s="68" t="s">
        <v>37</v>
      </c>
      <c r="N221" s="68" t="s">
        <v>29</v>
      </c>
      <c r="O221" s="68" t="s">
        <v>30</v>
      </c>
      <c r="P221" s="69">
        <v>45476.333333333299</v>
      </c>
      <c r="Q221" s="70">
        <v>45476.541666666701</v>
      </c>
      <c r="R221" s="70" t="s">
        <v>31</v>
      </c>
      <c r="S221" s="71">
        <v>45420.566666666702</v>
      </c>
      <c r="T221" s="72" t="s">
        <v>1465</v>
      </c>
      <c r="U221" s="63">
        <v>45516.668055555601</v>
      </c>
      <c r="V221" s="64">
        <v>22</v>
      </c>
    </row>
    <row r="222" spans="1:22" ht="11.25" x14ac:dyDescent="0.2">
      <c r="A222" s="65">
        <v>306061</v>
      </c>
      <c r="B222" s="65" t="s">
        <v>873</v>
      </c>
      <c r="C222" s="66" t="s">
        <v>874</v>
      </c>
      <c r="D222" s="66" t="s">
        <v>874</v>
      </c>
      <c r="E222" s="67" t="s">
        <v>183</v>
      </c>
      <c r="F222" s="66" t="s">
        <v>184</v>
      </c>
      <c r="G222" s="67" t="s">
        <v>23</v>
      </c>
      <c r="H222" s="65" t="s">
        <v>22</v>
      </c>
      <c r="I222" s="67" t="s">
        <v>24</v>
      </c>
      <c r="J222" s="67" t="s">
        <v>121</v>
      </c>
      <c r="K222" s="67" t="s">
        <v>122</v>
      </c>
      <c r="L222" s="65" t="s">
        <v>36</v>
      </c>
      <c r="M222" s="68" t="s">
        <v>37</v>
      </c>
      <c r="N222" s="68" t="s">
        <v>29</v>
      </c>
      <c r="O222" s="68" t="s">
        <v>30</v>
      </c>
      <c r="P222" s="69">
        <v>45428.593055555597</v>
      </c>
      <c r="Q222" s="70"/>
      <c r="R222" s="70" t="s">
        <v>31</v>
      </c>
      <c r="S222" s="71">
        <v>45407.395833333299</v>
      </c>
      <c r="T222" s="72" t="s">
        <v>161</v>
      </c>
      <c r="U222" s="63">
        <v>45516.668055555601</v>
      </c>
      <c r="V222" s="64">
        <v>22</v>
      </c>
    </row>
    <row r="223" spans="1:22" ht="11.25" x14ac:dyDescent="0.2">
      <c r="A223" s="65">
        <v>306062</v>
      </c>
      <c r="B223" s="65" t="s">
        <v>875</v>
      </c>
      <c r="C223" s="66" t="s">
        <v>876</v>
      </c>
      <c r="D223" s="66" t="s">
        <v>876</v>
      </c>
      <c r="E223" s="67" t="s">
        <v>439</v>
      </c>
      <c r="F223" s="66" t="s">
        <v>440</v>
      </c>
      <c r="G223" s="67" t="s">
        <v>23</v>
      </c>
      <c r="H223" s="65" t="s">
        <v>34</v>
      </c>
      <c r="I223" s="67" t="s">
        <v>35</v>
      </c>
      <c r="J223" s="67" t="s">
        <v>649</v>
      </c>
      <c r="K223" s="67" t="s">
        <v>650</v>
      </c>
      <c r="L223" s="65" t="s">
        <v>36</v>
      </c>
      <c r="M223" s="68" t="s">
        <v>37</v>
      </c>
      <c r="N223" s="68" t="s">
        <v>29</v>
      </c>
      <c r="O223" s="68" t="s">
        <v>30</v>
      </c>
      <c r="P223" s="69">
        <v>45467.629166666702</v>
      </c>
      <c r="Q223" s="70"/>
      <c r="R223" s="70" t="s">
        <v>31</v>
      </c>
      <c r="S223" s="71">
        <v>45384.475694444402</v>
      </c>
      <c r="T223" s="72" t="s">
        <v>85</v>
      </c>
      <c r="U223" s="63">
        <v>45516.668055555601</v>
      </c>
      <c r="V223" s="64">
        <v>22</v>
      </c>
    </row>
    <row r="224" spans="1:22" ht="11.25" x14ac:dyDescent="0.2">
      <c r="A224" s="65">
        <v>306079</v>
      </c>
      <c r="B224" s="65" t="s">
        <v>877</v>
      </c>
      <c r="C224" s="66" t="s">
        <v>878</v>
      </c>
      <c r="D224" s="66" t="s">
        <v>879</v>
      </c>
      <c r="E224" s="67" t="s">
        <v>880</v>
      </c>
      <c r="F224" s="66" t="s">
        <v>881</v>
      </c>
      <c r="G224" s="67" t="s">
        <v>23</v>
      </c>
      <c r="H224" s="65" t="s">
        <v>22</v>
      </c>
      <c r="I224" s="67" t="s">
        <v>24</v>
      </c>
      <c r="J224" s="67" t="s">
        <v>649</v>
      </c>
      <c r="K224" s="67" t="s">
        <v>650</v>
      </c>
      <c r="L224" s="65" t="s">
        <v>36</v>
      </c>
      <c r="M224" s="68" t="s">
        <v>37</v>
      </c>
      <c r="N224" s="68" t="s">
        <v>51</v>
      </c>
      <c r="O224" s="68" t="s">
        <v>52</v>
      </c>
      <c r="P224" s="69">
        <v>45429.542361111096</v>
      </c>
      <c r="Q224" s="70"/>
      <c r="R224" s="70" t="s">
        <v>31</v>
      </c>
      <c r="S224" s="71">
        <v>45426.541666666701</v>
      </c>
      <c r="T224" s="72"/>
      <c r="U224" s="63">
        <v>45518.540972222203</v>
      </c>
      <c r="V224" s="64">
        <v>20</v>
      </c>
    </row>
    <row r="225" spans="1:22" ht="11.25" x14ac:dyDescent="0.2">
      <c r="A225" s="65">
        <v>306080</v>
      </c>
      <c r="B225" s="65" t="s">
        <v>882</v>
      </c>
      <c r="C225" s="66" t="s">
        <v>883</v>
      </c>
      <c r="D225" s="66" t="s">
        <v>884</v>
      </c>
      <c r="E225" s="67" t="s">
        <v>880</v>
      </c>
      <c r="F225" s="66" t="s">
        <v>881</v>
      </c>
      <c r="G225" s="67" t="s">
        <v>23</v>
      </c>
      <c r="H225" s="65" t="s">
        <v>22</v>
      </c>
      <c r="I225" s="67" t="s">
        <v>24</v>
      </c>
      <c r="J225" s="67" t="s">
        <v>649</v>
      </c>
      <c r="K225" s="67" t="s">
        <v>650</v>
      </c>
      <c r="L225" s="65" t="s">
        <v>36</v>
      </c>
      <c r="M225" s="68" t="s">
        <v>37</v>
      </c>
      <c r="N225" s="68" t="s">
        <v>51</v>
      </c>
      <c r="O225" s="68" t="s">
        <v>52</v>
      </c>
      <c r="P225" s="69">
        <v>45429.543749999997</v>
      </c>
      <c r="Q225" s="70"/>
      <c r="R225" s="70" t="s">
        <v>31</v>
      </c>
      <c r="S225" s="71">
        <v>45426.543055555601</v>
      </c>
      <c r="T225" s="72"/>
      <c r="U225" s="63">
        <v>45518.542361111096</v>
      </c>
      <c r="V225" s="64">
        <v>20</v>
      </c>
    </row>
    <row r="226" spans="1:22" ht="11.25" x14ac:dyDescent="0.2">
      <c r="A226" s="65">
        <v>306082</v>
      </c>
      <c r="B226" s="65" t="s">
        <v>885</v>
      </c>
      <c r="C226" s="66" t="s">
        <v>886</v>
      </c>
      <c r="D226" s="66" t="s">
        <v>887</v>
      </c>
      <c r="E226" s="67" t="s">
        <v>659</v>
      </c>
      <c r="F226" s="66" t="s">
        <v>660</v>
      </c>
      <c r="G226" s="67" t="s">
        <v>23</v>
      </c>
      <c r="H226" s="65" t="s">
        <v>22</v>
      </c>
      <c r="I226" s="67" t="s">
        <v>24</v>
      </c>
      <c r="J226" s="67" t="s">
        <v>649</v>
      </c>
      <c r="K226" s="67" t="s">
        <v>650</v>
      </c>
      <c r="L226" s="65" t="s">
        <v>36</v>
      </c>
      <c r="M226" s="68" t="s">
        <v>37</v>
      </c>
      <c r="N226" s="68" t="s">
        <v>51</v>
      </c>
      <c r="O226" s="68" t="s">
        <v>52</v>
      </c>
      <c r="P226" s="69">
        <v>45428.579861111102</v>
      </c>
      <c r="Q226" s="70"/>
      <c r="R226" s="70" t="s">
        <v>31</v>
      </c>
      <c r="S226" s="71">
        <v>45427.579166666699</v>
      </c>
      <c r="T226" s="72"/>
      <c r="U226" s="63">
        <v>45518.578472222202</v>
      </c>
      <c r="V226" s="64">
        <v>20</v>
      </c>
    </row>
    <row r="227" spans="1:22" ht="11.25" x14ac:dyDescent="0.2">
      <c r="A227" s="65">
        <v>306083</v>
      </c>
      <c r="B227" s="65" t="s">
        <v>616</v>
      </c>
      <c r="C227" s="66" t="s">
        <v>888</v>
      </c>
      <c r="D227" s="66" t="s">
        <v>889</v>
      </c>
      <c r="E227" s="67" t="s">
        <v>223</v>
      </c>
      <c r="F227" s="66" t="s">
        <v>224</v>
      </c>
      <c r="G227" s="67" t="s">
        <v>23</v>
      </c>
      <c r="H227" s="65" t="s">
        <v>22</v>
      </c>
      <c r="I227" s="67" t="s">
        <v>24</v>
      </c>
      <c r="J227" s="67" t="s">
        <v>618</v>
      </c>
      <c r="K227" s="67" t="s">
        <v>619</v>
      </c>
      <c r="L227" s="65" t="s">
        <v>36</v>
      </c>
      <c r="M227" s="68" t="s">
        <v>37</v>
      </c>
      <c r="N227" s="68" t="s">
        <v>76</v>
      </c>
      <c r="O227" s="68" t="s">
        <v>77</v>
      </c>
      <c r="P227" s="69">
        <v>45429.3930555556</v>
      </c>
      <c r="Q227" s="70"/>
      <c r="R227" s="70" t="s">
        <v>31</v>
      </c>
      <c r="S227" s="71">
        <v>45428.392361111102</v>
      </c>
      <c r="T227" s="72"/>
      <c r="U227" s="63">
        <v>45519.391666666699</v>
      </c>
      <c r="V227" s="64">
        <v>19</v>
      </c>
    </row>
    <row r="228" spans="1:22" ht="11.25" x14ac:dyDescent="0.2">
      <c r="A228" s="65">
        <v>306089</v>
      </c>
      <c r="B228" s="65" t="s">
        <v>890</v>
      </c>
      <c r="C228" s="66" t="s">
        <v>891</v>
      </c>
      <c r="D228" s="66" t="s">
        <v>891</v>
      </c>
      <c r="E228" s="67" t="s">
        <v>223</v>
      </c>
      <c r="F228" s="66" t="s">
        <v>224</v>
      </c>
      <c r="G228" s="67" t="s">
        <v>23</v>
      </c>
      <c r="H228" s="65" t="s">
        <v>22</v>
      </c>
      <c r="I228" s="67" t="s">
        <v>24</v>
      </c>
      <c r="J228" s="67" t="s">
        <v>649</v>
      </c>
      <c r="K228" s="67" t="s">
        <v>650</v>
      </c>
      <c r="L228" s="65" t="s">
        <v>36</v>
      </c>
      <c r="M228" s="68" t="s">
        <v>37</v>
      </c>
      <c r="N228" s="68" t="s">
        <v>29</v>
      </c>
      <c r="O228" s="68" t="s">
        <v>30</v>
      </c>
      <c r="P228" s="69"/>
      <c r="Q228" s="70"/>
      <c r="R228" s="70" t="s">
        <v>31</v>
      </c>
      <c r="S228" s="71">
        <v>45426.913888888899</v>
      </c>
      <c r="T228" s="72" t="s">
        <v>135</v>
      </c>
      <c r="U228" s="63">
        <v>45519.609027777798</v>
      </c>
      <c r="V228" s="64">
        <v>19</v>
      </c>
    </row>
    <row r="229" spans="1:22" ht="11.25" x14ac:dyDescent="0.2">
      <c r="A229" s="65">
        <v>306090</v>
      </c>
      <c r="B229" s="65" t="s">
        <v>892</v>
      </c>
      <c r="C229" s="66" t="s">
        <v>893</v>
      </c>
      <c r="D229" s="66" t="s">
        <v>893</v>
      </c>
      <c r="E229" s="67" t="s">
        <v>133</v>
      </c>
      <c r="F229" s="66" t="s">
        <v>134</v>
      </c>
      <c r="G229" s="67" t="s">
        <v>23</v>
      </c>
      <c r="H229" s="65" t="s">
        <v>179</v>
      </c>
      <c r="I229" s="67" t="s">
        <v>180</v>
      </c>
      <c r="J229" s="67" t="s">
        <v>649</v>
      </c>
      <c r="K229" s="67" t="s">
        <v>650</v>
      </c>
      <c r="L229" s="65" t="s">
        <v>36</v>
      </c>
      <c r="M229" s="68" t="s">
        <v>37</v>
      </c>
      <c r="N229" s="68" t="s">
        <v>83</v>
      </c>
      <c r="O229" s="68" t="s">
        <v>84</v>
      </c>
      <c r="P229" s="69"/>
      <c r="Q229" s="70"/>
      <c r="R229" s="70" t="s">
        <v>31</v>
      </c>
      <c r="S229" s="71">
        <v>45426.925694444399</v>
      </c>
      <c r="T229" s="72" t="s">
        <v>135</v>
      </c>
      <c r="U229" s="63">
        <v>45516.925694444399</v>
      </c>
      <c r="V229" s="64">
        <v>22</v>
      </c>
    </row>
    <row r="230" spans="1:22" ht="11.25" x14ac:dyDescent="0.2">
      <c r="A230" s="65">
        <v>306091</v>
      </c>
      <c r="B230" s="65" t="s">
        <v>894</v>
      </c>
      <c r="C230" s="66" t="s">
        <v>895</v>
      </c>
      <c r="D230" s="66" t="s">
        <v>895</v>
      </c>
      <c r="E230" s="67" t="s">
        <v>101</v>
      </c>
      <c r="F230" s="66" t="s">
        <v>102</v>
      </c>
      <c r="G230" s="67" t="s">
        <v>23</v>
      </c>
      <c r="H230" s="65" t="s">
        <v>34</v>
      </c>
      <c r="I230" s="67" t="s">
        <v>35</v>
      </c>
      <c r="J230" s="67" t="s">
        <v>66</v>
      </c>
      <c r="K230" s="67" t="s">
        <v>67</v>
      </c>
      <c r="L230" s="65" t="s">
        <v>36</v>
      </c>
      <c r="M230" s="68" t="s">
        <v>37</v>
      </c>
      <c r="N230" s="68" t="s">
        <v>83</v>
      </c>
      <c r="O230" s="68" t="s">
        <v>84</v>
      </c>
      <c r="P230" s="69">
        <v>45432.4506944444</v>
      </c>
      <c r="Q230" s="70"/>
      <c r="R230" s="70" t="s">
        <v>31</v>
      </c>
      <c r="S230" s="71">
        <v>45428.584027777797</v>
      </c>
      <c r="T230" s="72" t="s">
        <v>80</v>
      </c>
      <c r="U230" s="63">
        <v>45518.584027777797</v>
      </c>
      <c r="V230" s="64">
        <v>20</v>
      </c>
    </row>
    <row r="231" spans="1:22" ht="11.25" x14ac:dyDescent="0.2">
      <c r="A231" s="65">
        <v>306092</v>
      </c>
      <c r="B231" s="65" t="s">
        <v>896</v>
      </c>
      <c r="C231" s="66" t="s">
        <v>897</v>
      </c>
      <c r="D231" s="66" t="s">
        <v>897</v>
      </c>
      <c r="E231" s="67" t="s">
        <v>659</v>
      </c>
      <c r="F231" s="66" t="s">
        <v>660</v>
      </c>
      <c r="G231" s="67" t="s">
        <v>23</v>
      </c>
      <c r="H231" s="65" t="s">
        <v>22</v>
      </c>
      <c r="I231" s="67" t="s">
        <v>24</v>
      </c>
      <c r="J231" s="67" t="s">
        <v>649</v>
      </c>
      <c r="K231" s="67" t="s">
        <v>650</v>
      </c>
      <c r="L231" s="65" t="s">
        <v>36</v>
      </c>
      <c r="M231" s="68" t="s">
        <v>37</v>
      </c>
      <c r="N231" s="68" t="s">
        <v>51</v>
      </c>
      <c r="O231" s="68" t="s">
        <v>52</v>
      </c>
      <c r="P231" s="69"/>
      <c r="Q231" s="70"/>
      <c r="R231" s="70" t="s">
        <v>31</v>
      </c>
      <c r="S231" s="71">
        <v>45428.8930555556</v>
      </c>
      <c r="T231" s="72" t="s">
        <v>85</v>
      </c>
      <c r="U231" s="63">
        <v>45519.609027777798</v>
      </c>
      <c r="V231" s="64">
        <v>19</v>
      </c>
    </row>
    <row r="232" spans="1:22" ht="11.25" x14ac:dyDescent="0.2">
      <c r="A232" s="65">
        <v>306093</v>
      </c>
      <c r="B232" s="65" t="s">
        <v>898</v>
      </c>
      <c r="C232" s="66" t="s">
        <v>899</v>
      </c>
      <c r="D232" s="66" t="s">
        <v>899</v>
      </c>
      <c r="E232" s="67" t="s">
        <v>388</v>
      </c>
      <c r="F232" s="66" t="s">
        <v>389</v>
      </c>
      <c r="G232" s="67" t="s">
        <v>23</v>
      </c>
      <c r="H232" s="65" t="s">
        <v>22</v>
      </c>
      <c r="I232" s="67" t="s">
        <v>24</v>
      </c>
      <c r="J232" s="67" t="s">
        <v>649</v>
      </c>
      <c r="K232" s="67" t="s">
        <v>650</v>
      </c>
      <c r="L232" s="65" t="s">
        <v>36</v>
      </c>
      <c r="M232" s="68" t="s">
        <v>37</v>
      </c>
      <c r="N232" s="68" t="s">
        <v>57</v>
      </c>
      <c r="O232" s="68" t="s">
        <v>58</v>
      </c>
      <c r="P232" s="69">
        <v>45432.436805555597</v>
      </c>
      <c r="Q232" s="70"/>
      <c r="R232" s="70" t="s">
        <v>31</v>
      </c>
      <c r="S232" s="71">
        <v>45428.905555555597</v>
      </c>
      <c r="T232" s="72" t="s">
        <v>85</v>
      </c>
      <c r="U232" s="63">
        <v>45519.609027777798</v>
      </c>
      <c r="V232" s="64">
        <v>19</v>
      </c>
    </row>
    <row r="233" spans="1:22" ht="11.25" x14ac:dyDescent="0.2">
      <c r="A233" s="65">
        <v>306094</v>
      </c>
      <c r="B233" s="65" t="s">
        <v>900</v>
      </c>
      <c r="C233" s="66" t="s">
        <v>901</v>
      </c>
      <c r="D233" s="66" t="s">
        <v>901</v>
      </c>
      <c r="E233" s="67" t="s">
        <v>622</v>
      </c>
      <c r="F233" s="66" t="s">
        <v>623</v>
      </c>
      <c r="G233" s="67" t="s">
        <v>23</v>
      </c>
      <c r="H233" s="65" t="s">
        <v>81</v>
      </c>
      <c r="I233" s="67" t="s">
        <v>82</v>
      </c>
      <c r="J233" s="67" t="s">
        <v>649</v>
      </c>
      <c r="K233" s="67" t="s">
        <v>650</v>
      </c>
      <c r="L233" s="65" t="s">
        <v>36</v>
      </c>
      <c r="M233" s="68" t="s">
        <v>37</v>
      </c>
      <c r="N233" s="68" t="s">
        <v>57</v>
      </c>
      <c r="O233" s="68" t="s">
        <v>58</v>
      </c>
      <c r="P233" s="69">
        <v>45427.680555555598</v>
      </c>
      <c r="Q233" s="70"/>
      <c r="R233" s="70" t="s">
        <v>31</v>
      </c>
      <c r="S233" s="71">
        <v>45426.886111111096</v>
      </c>
      <c r="T233" s="72" t="s">
        <v>85</v>
      </c>
      <c r="U233" s="63">
        <v>45516.886111111096</v>
      </c>
      <c r="V233" s="64">
        <v>22</v>
      </c>
    </row>
    <row r="234" spans="1:22" ht="11.25" x14ac:dyDescent="0.2">
      <c r="A234" s="65">
        <v>306096</v>
      </c>
      <c r="B234" s="65" t="s">
        <v>902</v>
      </c>
      <c r="C234" s="66" t="s">
        <v>903</v>
      </c>
      <c r="D234" s="66" t="s">
        <v>903</v>
      </c>
      <c r="E234" s="67" t="s">
        <v>659</v>
      </c>
      <c r="F234" s="66" t="s">
        <v>660</v>
      </c>
      <c r="G234" s="67" t="s">
        <v>23</v>
      </c>
      <c r="H234" s="65" t="s">
        <v>179</v>
      </c>
      <c r="I234" s="67" t="s">
        <v>180</v>
      </c>
      <c r="J234" s="67" t="s">
        <v>649</v>
      </c>
      <c r="K234" s="67" t="s">
        <v>650</v>
      </c>
      <c r="L234" s="65" t="s">
        <v>36</v>
      </c>
      <c r="M234" s="68" t="s">
        <v>37</v>
      </c>
      <c r="N234" s="68" t="s">
        <v>51</v>
      </c>
      <c r="O234" s="68" t="s">
        <v>52</v>
      </c>
      <c r="P234" s="69"/>
      <c r="Q234" s="70"/>
      <c r="R234" s="70" t="s">
        <v>31</v>
      </c>
      <c r="S234" s="71">
        <v>45426.888888888898</v>
      </c>
      <c r="T234" s="72" t="s">
        <v>85</v>
      </c>
      <c r="U234" s="63">
        <v>45516.888888888898</v>
      </c>
      <c r="V234" s="64">
        <v>22</v>
      </c>
    </row>
    <row r="235" spans="1:22" ht="11.25" x14ac:dyDescent="0.2">
      <c r="A235" s="65">
        <v>306097</v>
      </c>
      <c r="B235" s="65" t="s">
        <v>904</v>
      </c>
      <c r="C235" s="66" t="s">
        <v>905</v>
      </c>
      <c r="D235" s="66" t="s">
        <v>905</v>
      </c>
      <c r="E235" s="67" t="s">
        <v>622</v>
      </c>
      <c r="F235" s="66" t="s">
        <v>623</v>
      </c>
      <c r="G235" s="67" t="s">
        <v>23</v>
      </c>
      <c r="H235" s="65" t="s">
        <v>22</v>
      </c>
      <c r="I235" s="67" t="s">
        <v>24</v>
      </c>
      <c r="J235" s="67" t="s">
        <v>649</v>
      </c>
      <c r="K235" s="67" t="s">
        <v>650</v>
      </c>
      <c r="L235" s="65" t="s">
        <v>36</v>
      </c>
      <c r="M235" s="68" t="s">
        <v>37</v>
      </c>
      <c r="N235" s="68" t="s">
        <v>29</v>
      </c>
      <c r="O235" s="68" t="s">
        <v>30</v>
      </c>
      <c r="P235" s="69"/>
      <c r="Q235" s="70"/>
      <c r="R235" s="70" t="s">
        <v>31</v>
      </c>
      <c r="S235" s="71">
        <v>45426.886805555601</v>
      </c>
      <c r="T235" s="72" t="s">
        <v>85</v>
      </c>
      <c r="U235" s="63">
        <v>45519.609027777798</v>
      </c>
      <c r="V235" s="64">
        <v>19</v>
      </c>
    </row>
    <row r="236" spans="1:22" ht="11.25" x14ac:dyDescent="0.2">
      <c r="A236" s="65">
        <v>306098</v>
      </c>
      <c r="B236" s="65" t="s">
        <v>906</v>
      </c>
      <c r="C236" s="66" t="s">
        <v>907</v>
      </c>
      <c r="D236" s="66" t="s">
        <v>907</v>
      </c>
      <c r="E236" s="67" t="s">
        <v>908</v>
      </c>
      <c r="F236" s="66" t="s">
        <v>909</v>
      </c>
      <c r="G236" s="67" t="s">
        <v>23</v>
      </c>
      <c r="H236" s="65" t="s">
        <v>22</v>
      </c>
      <c r="I236" s="67" t="s">
        <v>24</v>
      </c>
      <c r="J236" s="67" t="s">
        <v>649</v>
      </c>
      <c r="K236" s="67" t="s">
        <v>650</v>
      </c>
      <c r="L236" s="65" t="s">
        <v>36</v>
      </c>
      <c r="M236" s="68" t="s">
        <v>37</v>
      </c>
      <c r="N236" s="68" t="s">
        <v>29</v>
      </c>
      <c r="O236" s="68" t="s">
        <v>30</v>
      </c>
      <c r="P236" s="69"/>
      <c r="Q236" s="70"/>
      <c r="R236" s="70" t="s">
        <v>31</v>
      </c>
      <c r="S236" s="71">
        <v>45426.90625</v>
      </c>
      <c r="T236" s="72" t="s">
        <v>85</v>
      </c>
      <c r="U236" s="63">
        <v>45519.609027777798</v>
      </c>
      <c r="V236" s="64">
        <v>19</v>
      </c>
    </row>
    <row r="237" spans="1:22" ht="11.25" x14ac:dyDescent="0.2">
      <c r="A237" s="65">
        <v>306099</v>
      </c>
      <c r="B237" s="65" t="s">
        <v>910</v>
      </c>
      <c r="C237" s="66" t="s">
        <v>911</v>
      </c>
      <c r="D237" s="66" t="s">
        <v>911</v>
      </c>
      <c r="E237" s="67" t="s">
        <v>376</v>
      </c>
      <c r="F237" s="66" t="s">
        <v>377</v>
      </c>
      <c r="G237" s="67" t="s">
        <v>23</v>
      </c>
      <c r="H237" s="65" t="s">
        <v>22</v>
      </c>
      <c r="I237" s="67" t="s">
        <v>24</v>
      </c>
      <c r="J237" s="67" t="s">
        <v>649</v>
      </c>
      <c r="K237" s="67" t="s">
        <v>650</v>
      </c>
      <c r="L237" s="65" t="s">
        <v>36</v>
      </c>
      <c r="M237" s="68" t="s">
        <v>37</v>
      </c>
      <c r="N237" s="68" t="s">
        <v>51</v>
      </c>
      <c r="O237" s="68" t="s">
        <v>52</v>
      </c>
      <c r="P237" s="69"/>
      <c r="Q237" s="70"/>
      <c r="R237" s="70" t="s">
        <v>31</v>
      </c>
      <c r="S237" s="71">
        <v>45426.862500000003</v>
      </c>
      <c r="T237" s="72" t="s">
        <v>85</v>
      </c>
      <c r="U237" s="63">
        <v>45519.609722222202</v>
      </c>
      <c r="V237" s="64">
        <v>19</v>
      </c>
    </row>
    <row r="238" spans="1:22" ht="11.25" x14ac:dyDescent="0.2">
      <c r="A238" s="65">
        <v>306102</v>
      </c>
      <c r="B238" s="65" t="s">
        <v>912</v>
      </c>
      <c r="C238" s="66" t="s">
        <v>913</v>
      </c>
      <c r="D238" s="66" t="s">
        <v>914</v>
      </c>
      <c r="E238" s="67" t="s">
        <v>199</v>
      </c>
      <c r="F238" s="66" t="s">
        <v>200</v>
      </c>
      <c r="G238" s="67" t="s">
        <v>23</v>
      </c>
      <c r="H238" s="65" t="s">
        <v>49</v>
      </c>
      <c r="I238" s="67" t="s">
        <v>50</v>
      </c>
      <c r="J238" s="67" t="s">
        <v>66</v>
      </c>
      <c r="K238" s="67" t="s">
        <v>67</v>
      </c>
      <c r="L238" s="65" t="s">
        <v>36</v>
      </c>
      <c r="M238" s="68" t="s">
        <v>37</v>
      </c>
      <c r="N238" s="68" t="s">
        <v>57</v>
      </c>
      <c r="O238" s="68" t="s">
        <v>58</v>
      </c>
      <c r="P238" s="69">
        <v>45492.422916666699</v>
      </c>
      <c r="Q238" s="70"/>
      <c r="R238" s="70" t="s">
        <v>31</v>
      </c>
      <c r="S238" s="71">
        <v>45428.594444444403</v>
      </c>
      <c r="T238" s="72" t="s">
        <v>239</v>
      </c>
      <c r="U238" s="63">
        <v>45519.609722222202</v>
      </c>
      <c r="V238" s="64">
        <v>19</v>
      </c>
    </row>
    <row r="239" spans="1:22" ht="11.25" x14ac:dyDescent="0.2">
      <c r="A239" s="65">
        <v>306104</v>
      </c>
      <c r="B239" s="65" t="s">
        <v>915</v>
      </c>
      <c r="C239" s="66" t="s">
        <v>916</v>
      </c>
      <c r="D239" s="66" t="s">
        <v>916</v>
      </c>
      <c r="E239" s="67" t="s">
        <v>341</v>
      </c>
      <c r="F239" s="66" t="s">
        <v>342</v>
      </c>
      <c r="G239" s="67" t="s">
        <v>23</v>
      </c>
      <c r="H239" s="65" t="s">
        <v>34</v>
      </c>
      <c r="I239" s="67" t="s">
        <v>35</v>
      </c>
      <c r="J239" s="67" t="s">
        <v>649</v>
      </c>
      <c r="K239" s="67" t="s">
        <v>650</v>
      </c>
      <c r="L239" s="65" t="s">
        <v>36</v>
      </c>
      <c r="M239" s="68" t="s">
        <v>37</v>
      </c>
      <c r="N239" s="68" t="s">
        <v>51</v>
      </c>
      <c r="O239" s="68" t="s">
        <v>52</v>
      </c>
      <c r="P239" s="69">
        <v>45442.408333333296</v>
      </c>
      <c r="Q239" s="70"/>
      <c r="R239" s="70" t="s">
        <v>31</v>
      </c>
      <c r="S239" s="71">
        <v>45426.938194444403</v>
      </c>
      <c r="T239" s="72" t="s">
        <v>85</v>
      </c>
      <c r="U239" s="63">
        <v>45519.609722222202</v>
      </c>
      <c r="V239" s="64">
        <v>19</v>
      </c>
    </row>
    <row r="240" spans="1:22" ht="11.25" x14ac:dyDescent="0.2">
      <c r="A240" s="65">
        <v>306105</v>
      </c>
      <c r="B240" s="65" t="s">
        <v>917</v>
      </c>
      <c r="C240" s="66" t="s">
        <v>918</v>
      </c>
      <c r="D240" s="66" t="s">
        <v>918</v>
      </c>
      <c r="E240" s="67" t="s">
        <v>376</v>
      </c>
      <c r="F240" s="66" t="s">
        <v>377</v>
      </c>
      <c r="G240" s="67" t="s">
        <v>23</v>
      </c>
      <c r="H240" s="65" t="s">
        <v>179</v>
      </c>
      <c r="I240" s="67" t="s">
        <v>180</v>
      </c>
      <c r="J240" s="67" t="s">
        <v>649</v>
      </c>
      <c r="K240" s="67" t="s">
        <v>650</v>
      </c>
      <c r="L240" s="65" t="s">
        <v>36</v>
      </c>
      <c r="M240" s="68" t="s">
        <v>37</v>
      </c>
      <c r="N240" s="68" t="s">
        <v>51</v>
      </c>
      <c r="O240" s="68" t="s">
        <v>52</v>
      </c>
      <c r="P240" s="69"/>
      <c r="Q240" s="70"/>
      <c r="R240" s="70" t="s">
        <v>31</v>
      </c>
      <c r="S240" s="71">
        <v>45425.922916666699</v>
      </c>
      <c r="T240" s="72" t="s">
        <v>85</v>
      </c>
      <c r="U240" s="63">
        <v>45515.922916666699</v>
      </c>
      <c r="V240" s="64">
        <v>23</v>
      </c>
    </row>
    <row r="241" spans="1:22" ht="11.25" x14ac:dyDescent="0.2">
      <c r="A241" s="65">
        <v>306107</v>
      </c>
      <c r="B241" s="65" t="s">
        <v>919</v>
      </c>
      <c r="C241" s="66" t="s">
        <v>920</v>
      </c>
      <c r="D241" s="66" t="s">
        <v>920</v>
      </c>
      <c r="E241" s="67" t="s">
        <v>372</v>
      </c>
      <c r="F241" s="66" t="s">
        <v>373</v>
      </c>
      <c r="G241" s="67" t="s">
        <v>23</v>
      </c>
      <c r="H241" s="65" t="s">
        <v>22</v>
      </c>
      <c r="I241" s="67" t="s">
        <v>24</v>
      </c>
      <c r="J241" s="67" t="s">
        <v>649</v>
      </c>
      <c r="K241" s="67" t="s">
        <v>650</v>
      </c>
      <c r="L241" s="65" t="s">
        <v>36</v>
      </c>
      <c r="M241" s="68" t="s">
        <v>37</v>
      </c>
      <c r="N241" s="68" t="s">
        <v>29</v>
      </c>
      <c r="O241" s="68" t="s">
        <v>30</v>
      </c>
      <c r="P241" s="69">
        <v>45518.5180555556</v>
      </c>
      <c r="Q241" s="70"/>
      <c r="R241" s="70" t="s">
        <v>31</v>
      </c>
      <c r="S241" s="71">
        <v>45425.885416666701</v>
      </c>
      <c r="T241" s="72" t="s">
        <v>85</v>
      </c>
      <c r="U241" s="63">
        <v>45519.609722222202</v>
      </c>
      <c r="V241" s="64">
        <v>19</v>
      </c>
    </row>
    <row r="242" spans="1:22" ht="11.25" x14ac:dyDescent="0.2">
      <c r="A242" s="65">
        <v>306108</v>
      </c>
      <c r="B242" s="65" t="s">
        <v>921</v>
      </c>
      <c r="C242" s="66" t="s">
        <v>922</v>
      </c>
      <c r="D242" s="66" t="s">
        <v>922</v>
      </c>
      <c r="E242" s="67" t="s">
        <v>376</v>
      </c>
      <c r="F242" s="66" t="s">
        <v>377</v>
      </c>
      <c r="G242" s="67" t="s">
        <v>23</v>
      </c>
      <c r="H242" s="65" t="s">
        <v>22</v>
      </c>
      <c r="I242" s="67" t="s">
        <v>24</v>
      </c>
      <c r="J242" s="67" t="s">
        <v>649</v>
      </c>
      <c r="K242" s="67" t="s">
        <v>650</v>
      </c>
      <c r="L242" s="65" t="s">
        <v>36</v>
      </c>
      <c r="M242" s="68" t="s">
        <v>37</v>
      </c>
      <c r="N242" s="68" t="s">
        <v>57</v>
      </c>
      <c r="O242" s="68" t="s">
        <v>58</v>
      </c>
      <c r="P242" s="69">
        <v>45432.545833333301</v>
      </c>
      <c r="Q242" s="70"/>
      <c r="R242" s="70" t="s">
        <v>31</v>
      </c>
      <c r="S242" s="71">
        <v>45425.922222222202</v>
      </c>
      <c r="T242" s="72" t="s">
        <v>85</v>
      </c>
      <c r="U242" s="63">
        <v>45519.609722222202</v>
      </c>
      <c r="V242" s="64">
        <v>19</v>
      </c>
    </row>
    <row r="243" spans="1:22" ht="11.25" x14ac:dyDescent="0.2">
      <c r="A243" s="65">
        <v>306112</v>
      </c>
      <c r="B243" s="65" t="s">
        <v>923</v>
      </c>
      <c r="C243" s="66" t="s">
        <v>924</v>
      </c>
      <c r="D243" s="66" t="s">
        <v>925</v>
      </c>
      <c r="E243" s="67" t="s">
        <v>505</v>
      </c>
      <c r="F243" s="66" t="s">
        <v>506</v>
      </c>
      <c r="G243" s="67" t="s">
        <v>222</v>
      </c>
      <c r="H243" s="65" t="s">
        <v>34</v>
      </c>
      <c r="I243" s="67" t="s">
        <v>35</v>
      </c>
      <c r="J243" s="67" t="s">
        <v>88</v>
      </c>
      <c r="K243" s="67" t="s">
        <v>89</v>
      </c>
      <c r="L243" s="65" t="s">
        <v>27</v>
      </c>
      <c r="M243" s="68" t="s">
        <v>28</v>
      </c>
      <c r="N243" s="68" t="s">
        <v>29</v>
      </c>
      <c r="O243" s="68" t="s">
        <v>30</v>
      </c>
      <c r="P243" s="69">
        <v>45432.390277777798</v>
      </c>
      <c r="Q243" s="70"/>
      <c r="R243" s="70" t="s">
        <v>31</v>
      </c>
      <c r="S243" s="71">
        <v>45427.388888888898</v>
      </c>
      <c r="T243" s="72"/>
      <c r="U243" s="63">
        <v>45520.382638888899</v>
      </c>
      <c r="V243" s="64">
        <v>18</v>
      </c>
    </row>
    <row r="244" spans="1:22" ht="11.25" x14ac:dyDescent="0.2">
      <c r="A244" s="65">
        <v>306113</v>
      </c>
      <c r="B244" s="65" t="s">
        <v>926</v>
      </c>
      <c r="C244" s="66" t="s">
        <v>927</v>
      </c>
      <c r="D244" s="66" t="s">
        <v>927</v>
      </c>
      <c r="E244" s="67" t="s">
        <v>574</v>
      </c>
      <c r="F244" s="66" t="s">
        <v>575</v>
      </c>
      <c r="G244" s="67" t="s">
        <v>222</v>
      </c>
      <c r="H244" s="65" t="s">
        <v>53</v>
      </c>
      <c r="I244" s="67" t="s">
        <v>54</v>
      </c>
      <c r="J244" s="67" t="s">
        <v>88</v>
      </c>
      <c r="K244" s="67" t="s">
        <v>89</v>
      </c>
      <c r="L244" s="65" t="s">
        <v>27</v>
      </c>
      <c r="M244" s="68" t="s">
        <v>28</v>
      </c>
      <c r="N244" s="68" t="s">
        <v>57</v>
      </c>
      <c r="O244" s="68" t="s">
        <v>58</v>
      </c>
      <c r="P244" s="69">
        <v>45453.372916666704</v>
      </c>
      <c r="Q244" s="70"/>
      <c r="R244" s="70" t="s">
        <v>40</v>
      </c>
      <c r="S244" s="71"/>
      <c r="T244" s="72"/>
      <c r="U244" s="63">
        <v>45432.358333333301</v>
      </c>
      <c r="V244" s="64">
        <v>106</v>
      </c>
    </row>
    <row r="245" spans="1:22" ht="11.25" x14ac:dyDescent="0.2">
      <c r="A245" s="65">
        <v>306115</v>
      </c>
      <c r="B245" s="65" t="s">
        <v>928</v>
      </c>
      <c r="C245" s="66" t="s">
        <v>929</v>
      </c>
      <c r="D245" s="66" t="s">
        <v>930</v>
      </c>
      <c r="E245" s="67" t="s">
        <v>92</v>
      </c>
      <c r="F245" s="66" t="s">
        <v>93</v>
      </c>
      <c r="G245" s="67" t="s">
        <v>23</v>
      </c>
      <c r="H245" s="65" t="s">
        <v>34</v>
      </c>
      <c r="I245" s="67" t="s">
        <v>35</v>
      </c>
      <c r="J245" s="67" t="s">
        <v>230</v>
      </c>
      <c r="K245" s="67" t="s">
        <v>231</v>
      </c>
      <c r="L245" s="65" t="s">
        <v>36</v>
      </c>
      <c r="M245" s="68" t="s">
        <v>37</v>
      </c>
      <c r="N245" s="68" t="s">
        <v>76</v>
      </c>
      <c r="O245" s="68" t="s">
        <v>77</v>
      </c>
      <c r="P245" s="69">
        <v>45432.614583333299</v>
      </c>
      <c r="Q245" s="70"/>
      <c r="R245" s="70" t="s">
        <v>31</v>
      </c>
      <c r="S245" s="71">
        <v>45432.333333333299</v>
      </c>
      <c r="T245" s="72"/>
      <c r="U245" s="63">
        <v>45522.613194444399</v>
      </c>
      <c r="V245" s="64">
        <v>16</v>
      </c>
    </row>
    <row r="246" spans="1:22" ht="11.25" x14ac:dyDescent="0.2">
      <c r="A246" s="65">
        <v>306121</v>
      </c>
      <c r="B246" s="65" t="s">
        <v>931</v>
      </c>
      <c r="C246" s="66" t="s">
        <v>573</v>
      </c>
      <c r="D246" s="66" t="s">
        <v>932</v>
      </c>
      <c r="E246" s="67" t="s">
        <v>574</v>
      </c>
      <c r="F246" s="66" t="s">
        <v>575</v>
      </c>
      <c r="G246" s="67" t="s">
        <v>222</v>
      </c>
      <c r="H246" s="65" t="s">
        <v>53</v>
      </c>
      <c r="I246" s="67" t="s">
        <v>54</v>
      </c>
      <c r="J246" s="67" t="s">
        <v>576</v>
      </c>
      <c r="K246" s="67" t="s">
        <v>577</v>
      </c>
      <c r="L246" s="65" t="s">
        <v>237</v>
      </c>
      <c r="M246" s="68" t="s">
        <v>238</v>
      </c>
      <c r="N246" s="68" t="s">
        <v>83</v>
      </c>
      <c r="O246" s="68" t="s">
        <v>84</v>
      </c>
      <c r="P246" s="69">
        <v>45435.354166666701</v>
      </c>
      <c r="Q246" s="70"/>
      <c r="R246" s="70" t="s">
        <v>40</v>
      </c>
      <c r="S246" s="71">
        <v>45434.625</v>
      </c>
      <c r="T246" s="72"/>
      <c r="U246" s="63">
        <v>45434.679861111101</v>
      </c>
      <c r="V246" s="64">
        <v>104</v>
      </c>
    </row>
    <row r="247" spans="1:22" ht="11.25" x14ac:dyDescent="0.2">
      <c r="A247" s="65">
        <v>306128</v>
      </c>
      <c r="B247" s="65" t="s">
        <v>965</v>
      </c>
      <c r="C247" s="66" t="s">
        <v>933</v>
      </c>
      <c r="D247" s="66" t="s">
        <v>934</v>
      </c>
      <c r="E247" s="67" t="s">
        <v>419</v>
      </c>
      <c r="F247" s="66" t="s">
        <v>420</v>
      </c>
      <c r="G247" s="67" t="s">
        <v>23</v>
      </c>
      <c r="H247" s="65" t="s">
        <v>81</v>
      </c>
      <c r="I247" s="67" t="s">
        <v>82</v>
      </c>
      <c r="J247" s="67" t="s">
        <v>121</v>
      </c>
      <c r="K247" s="67" t="s">
        <v>122</v>
      </c>
      <c r="L247" s="65" t="s">
        <v>36</v>
      </c>
      <c r="M247" s="68" t="s">
        <v>37</v>
      </c>
      <c r="N247" s="68" t="s">
        <v>57</v>
      </c>
      <c r="O247" s="68" t="s">
        <v>58</v>
      </c>
      <c r="P247" s="69">
        <v>45436.3840277778</v>
      </c>
      <c r="Q247" s="70"/>
      <c r="R247" s="70" t="s">
        <v>40</v>
      </c>
      <c r="S247" s="71">
        <v>45433.383333333302</v>
      </c>
      <c r="T247" s="72"/>
      <c r="U247" s="63">
        <v>45436.383333333302</v>
      </c>
      <c r="V247" s="64">
        <v>102</v>
      </c>
    </row>
    <row r="248" spans="1:22" ht="11.25" x14ac:dyDescent="0.2">
      <c r="A248" s="65">
        <v>306129</v>
      </c>
      <c r="B248" s="65" t="s">
        <v>938</v>
      </c>
      <c r="C248" s="66" t="s">
        <v>939</v>
      </c>
      <c r="D248" s="66" t="s">
        <v>940</v>
      </c>
      <c r="E248" s="67" t="s">
        <v>42</v>
      </c>
      <c r="F248" s="66" t="s">
        <v>43</v>
      </c>
      <c r="G248" s="67" t="s">
        <v>23</v>
      </c>
      <c r="H248" s="65" t="s">
        <v>22</v>
      </c>
      <c r="I248" s="67" t="s">
        <v>24</v>
      </c>
      <c r="J248" s="67" t="s">
        <v>217</v>
      </c>
      <c r="K248" s="67" t="s">
        <v>218</v>
      </c>
      <c r="L248" s="65" t="s">
        <v>36</v>
      </c>
      <c r="M248" s="68" t="s">
        <v>37</v>
      </c>
      <c r="N248" s="68" t="s">
        <v>57</v>
      </c>
      <c r="O248" s="68" t="s">
        <v>58</v>
      </c>
      <c r="P248" s="69">
        <v>45436.390277777798</v>
      </c>
      <c r="Q248" s="70"/>
      <c r="R248" s="70" t="s">
        <v>40</v>
      </c>
      <c r="S248" s="71">
        <v>45433.390277777798</v>
      </c>
      <c r="T248" s="72"/>
      <c r="U248" s="63">
        <v>45436.389583333301</v>
      </c>
      <c r="V248" s="64">
        <v>102</v>
      </c>
    </row>
    <row r="249" spans="1:22" ht="11.25" x14ac:dyDescent="0.2">
      <c r="A249" s="65">
        <v>306130</v>
      </c>
      <c r="B249" s="65" t="s">
        <v>935</v>
      </c>
      <c r="C249" s="66" t="s">
        <v>936</v>
      </c>
      <c r="D249" s="66" t="s">
        <v>937</v>
      </c>
      <c r="E249" s="67" t="s">
        <v>42</v>
      </c>
      <c r="F249" s="66" t="s">
        <v>43</v>
      </c>
      <c r="G249" s="67" t="s">
        <v>23</v>
      </c>
      <c r="H249" s="65" t="s">
        <v>81</v>
      </c>
      <c r="I249" s="67" t="s">
        <v>82</v>
      </c>
      <c r="J249" s="67" t="s">
        <v>217</v>
      </c>
      <c r="K249" s="67" t="s">
        <v>218</v>
      </c>
      <c r="L249" s="65" t="s">
        <v>36</v>
      </c>
      <c r="M249" s="68" t="s">
        <v>37</v>
      </c>
      <c r="N249" s="68" t="s">
        <v>57</v>
      </c>
      <c r="O249" s="68" t="s">
        <v>58</v>
      </c>
      <c r="P249" s="69">
        <v>45436.3930555556</v>
      </c>
      <c r="Q249" s="70"/>
      <c r="R249" s="70" t="s">
        <v>31</v>
      </c>
      <c r="S249" s="71">
        <v>45433.3930555556</v>
      </c>
      <c r="T249" s="72"/>
      <c r="U249" s="63">
        <v>45526.392361111102</v>
      </c>
      <c r="V249" s="64">
        <v>12</v>
      </c>
    </row>
    <row r="250" spans="1:22" ht="11.25" x14ac:dyDescent="0.2">
      <c r="A250" s="65">
        <v>306133</v>
      </c>
      <c r="B250" s="65" t="s">
        <v>941</v>
      </c>
      <c r="C250" s="66" t="s">
        <v>942</v>
      </c>
      <c r="D250" s="66" t="s">
        <v>943</v>
      </c>
      <c r="E250" s="67" t="s">
        <v>673</v>
      </c>
      <c r="F250" s="66" t="s">
        <v>674</v>
      </c>
      <c r="G250" s="67" t="s">
        <v>23</v>
      </c>
      <c r="H250" s="65" t="s">
        <v>34</v>
      </c>
      <c r="I250" s="67" t="s">
        <v>35</v>
      </c>
      <c r="J250" s="67" t="s">
        <v>66</v>
      </c>
      <c r="K250" s="67" t="s">
        <v>67</v>
      </c>
      <c r="L250" s="65" t="s">
        <v>36</v>
      </c>
      <c r="M250" s="68" t="s">
        <v>37</v>
      </c>
      <c r="N250" s="68" t="s">
        <v>76</v>
      </c>
      <c r="O250" s="68" t="s">
        <v>77</v>
      </c>
      <c r="P250" s="69">
        <v>45436.467361111099</v>
      </c>
      <c r="Q250" s="70"/>
      <c r="R250" s="70" t="s">
        <v>40</v>
      </c>
      <c r="S250" s="71">
        <v>45434.466666666704</v>
      </c>
      <c r="T250" s="72"/>
      <c r="U250" s="63">
        <v>45436.465972222199</v>
      </c>
      <c r="V250" s="64">
        <v>102</v>
      </c>
    </row>
    <row r="251" spans="1:22" ht="11.25" x14ac:dyDescent="0.2">
      <c r="A251" s="65">
        <v>306136</v>
      </c>
      <c r="B251" s="65" t="s">
        <v>944</v>
      </c>
      <c r="C251" s="66" t="s">
        <v>945</v>
      </c>
      <c r="D251" s="66" t="s">
        <v>945</v>
      </c>
      <c r="E251" s="67" t="s">
        <v>42</v>
      </c>
      <c r="F251" s="66" t="s">
        <v>43</v>
      </c>
      <c r="G251" s="67" t="s">
        <v>23</v>
      </c>
      <c r="H251" s="65" t="s">
        <v>81</v>
      </c>
      <c r="I251" s="67" t="s">
        <v>82</v>
      </c>
      <c r="J251" s="67" t="s">
        <v>217</v>
      </c>
      <c r="K251" s="67" t="s">
        <v>218</v>
      </c>
      <c r="L251" s="65" t="s">
        <v>36</v>
      </c>
      <c r="M251" s="68" t="s">
        <v>37</v>
      </c>
      <c r="N251" s="68" t="s">
        <v>57</v>
      </c>
      <c r="O251" s="68" t="s">
        <v>58</v>
      </c>
      <c r="P251" s="69">
        <v>38136.545833333301</v>
      </c>
      <c r="Q251" s="70"/>
      <c r="R251" s="70" t="s">
        <v>31</v>
      </c>
      <c r="S251" s="71">
        <v>45434.675000000003</v>
      </c>
      <c r="T251" s="72" t="s">
        <v>46</v>
      </c>
      <c r="U251" s="63">
        <v>45526.583333333299</v>
      </c>
      <c r="V251" s="64">
        <v>12</v>
      </c>
    </row>
    <row r="252" spans="1:22" ht="11.25" x14ac:dyDescent="0.2">
      <c r="A252" s="65">
        <v>306139</v>
      </c>
      <c r="B252" s="65" t="s">
        <v>946</v>
      </c>
      <c r="C252" s="66" t="s">
        <v>947</v>
      </c>
      <c r="D252" s="66" t="s">
        <v>947</v>
      </c>
      <c r="E252" s="67" t="s">
        <v>42</v>
      </c>
      <c r="F252" s="66" t="s">
        <v>43</v>
      </c>
      <c r="G252" s="67" t="s">
        <v>23</v>
      </c>
      <c r="H252" s="65" t="s">
        <v>81</v>
      </c>
      <c r="I252" s="67" t="s">
        <v>82</v>
      </c>
      <c r="J252" s="67" t="s">
        <v>217</v>
      </c>
      <c r="K252" s="67" t="s">
        <v>218</v>
      </c>
      <c r="L252" s="65" t="s">
        <v>36</v>
      </c>
      <c r="M252" s="68" t="s">
        <v>37</v>
      </c>
      <c r="N252" s="68" t="s">
        <v>57</v>
      </c>
      <c r="O252" s="68" t="s">
        <v>58</v>
      </c>
      <c r="P252" s="69"/>
      <c r="Q252" s="70"/>
      <c r="R252" s="70" t="s">
        <v>31</v>
      </c>
      <c r="S252" s="71">
        <v>45433.650694444397</v>
      </c>
      <c r="T252" s="72" t="s">
        <v>46</v>
      </c>
      <c r="U252" s="63">
        <v>45526.584027777797</v>
      </c>
      <c r="V252" s="64">
        <v>12</v>
      </c>
    </row>
    <row r="253" spans="1:22" ht="11.25" x14ac:dyDescent="0.2">
      <c r="A253" s="65">
        <v>306142</v>
      </c>
      <c r="B253" s="65" t="s">
        <v>948</v>
      </c>
      <c r="C253" s="66" t="s">
        <v>949</v>
      </c>
      <c r="D253" s="66" t="s">
        <v>949</v>
      </c>
      <c r="E253" s="67" t="s">
        <v>86</v>
      </c>
      <c r="F253" s="66" t="s">
        <v>87</v>
      </c>
      <c r="G253" s="67" t="s">
        <v>23</v>
      </c>
      <c r="H253" s="65" t="s">
        <v>22</v>
      </c>
      <c r="I253" s="67" t="s">
        <v>24</v>
      </c>
      <c r="J253" s="67" t="s">
        <v>509</v>
      </c>
      <c r="K253" s="67" t="s">
        <v>510</v>
      </c>
      <c r="L253" s="65" t="s">
        <v>36</v>
      </c>
      <c r="M253" s="68" t="s">
        <v>37</v>
      </c>
      <c r="N253" s="68" t="s">
        <v>83</v>
      </c>
      <c r="O253" s="68" t="s">
        <v>84</v>
      </c>
      <c r="P253" s="69"/>
      <c r="Q253" s="70"/>
      <c r="R253" s="70" t="s">
        <v>31</v>
      </c>
      <c r="S253" s="71">
        <v>45432.588888888902</v>
      </c>
      <c r="T253" s="72" t="s">
        <v>85</v>
      </c>
      <c r="U253" s="63">
        <v>45526.584027777797</v>
      </c>
      <c r="V253" s="64">
        <v>12</v>
      </c>
    </row>
    <row r="254" spans="1:22" ht="11.25" x14ac:dyDescent="0.2">
      <c r="A254" s="65">
        <v>306144</v>
      </c>
      <c r="B254" s="65" t="s">
        <v>950</v>
      </c>
      <c r="C254" s="66" t="s">
        <v>951</v>
      </c>
      <c r="D254" s="66" t="s">
        <v>951</v>
      </c>
      <c r="E254" s="67" t="s">
        <v>86</v>
      </c>
      <c r="F254" s="66" t="s">
        <v>87</v>
      </c>
      <c r="G254" s="67" t="s">
        <v>23</v>
      </c>
      <c r="H254" s="65" t="s">
        <v>81</v>
      </c>
      <c r="I254" s="67" t="s">
        <v>82</v>
      </c>
      <c r="J254" s="67" t="s">
        <v>509</v>
      </c>
      <c r="K254" s="67" t="s">
        <v>510</v>
      </c>
      <c r="L254" s="65" t="s">
        <v>36</v>
      </c>
      <c r="M254" s="68" t="s">
        <v>37</v>
      </c>
      <c r="N254" s="68" t="s">
        <v>57</v>
      </c>
      <c r="O254" s="68" t="s">
        <v>58</v>
      </c>
      <c r="P254" s="69"/>
      <c r="Q254" s="70"/>
      <c r="R254" s="70" t="s">
        <v>31</v>
      </c>
      <c r="S254" s="71">
        <v>45432.586805555598</v>
      </c>
      <c r="T254" s="72" t="s">
        <v>85</v>
      </c>
      <c r="U254" s="63">
        <v>45526.584027777797</v>
      </c>
      <c r="V254" s="64">
        <v>12</v>
      </c>
    </row>
    <row r="255" spans="1:22" ht="11.25" x14ac:dyDescent="0.2">
      <c r="A255" s="65">
        <v>306146</v>
      </c>
      <c r="B255" s="65" t="s">
        <v>952</v>
      </c>
      <c r="C255" s="66" t="s">
        <v>953</v>
      </c>
      <c r="D255" s="66" t="s">
        <v>953</v>
      </c>
      <c r="E255" s="67" t="s">
        <v>954</v>
      </c>
      <c r="F255" s="66" t="s">
        <v>955</v>
      </c>
      <c r="G255" s="67" t="s">
        <v>23</v>
      </c>
      <c r="H255" s="65" t="s">
        <v>22</v>
      </c>
      <c r="I255" s="67" t="s">
        <v>24</v>
      </c>
      <c r="J255" s="67" t="s">
        <v>509</v>
      </c>
      <c r="K255" s="67" t="s">
        <v>510</v>
      </c>
      <c r="L255" s="65" t="s">
        <v>36</v>
      </c>
      <c r="M255" s="68" t="s">
        <v>37</v>
      </c>
      <c r="N255" s="68" t="s">
        <v>29</v>
      </c>
      <c r="O255" s="68" t="s">
        <v>30</v>
      </c>
      <c r="P255" s="69"/>
      <c r="Q255" s="70"/>
      <c r="R255" s="70" t="s">
        <v>31</v>
      </c>
      <c r="S255" s="71">
        <v>45432.573611111096</v>
      </c>
      <c r="T255" s="72" t="s">
        <v>85</v>
      </c>
      <c r="U255" s="63">
        <v>45526.584027777797</v>
      </c>
      <c r="V255" s="64">
        <v>12</v>
      </c>
    </row>
    <row r="256" spans="1:22" ht="11.25" x14ac:dyDescent="0.2">
      <c r="A256" s="65">
        <v>306147</v>
      </c>
      <c r="B256" s="65" t="s">
        <v>956</v>
      </c>
      <c r="C256" s="66" t="s">
        <v>957</v>
      </c>
      <c r="D256" s="66" t="s">
        <v>957</v>
      </c>
      <c r="E256" s="67" t="s">
        <v>388</v>
      </c>
      <c r="F256" s="66" t="s">
        <v>389</v>
      </c>
      <c r="G256" s="67" t="s">
        <v>23</v>
      </c>
      <c r="H256" s="65" t="s">
        <v>22</v>
      </c>
      <c r="I256" s="67" t="s">
        <v>24</v>
      </c>
      <c r="J256" s="67" t="s">
        <v>649</v>
      </c>
      <c r="K256" s="67" t="s">
        <v>650</v>
      </c>
      <c r="L256" s="65" t="s">
        <v>36</v>
      </c>
      <c r="M256" s="68" t="s">
        <v>37</v>
      </c>
      <c r="N256" s="68" t="s">
        <v>83</v>
      </c>
      <c r="O256" s="68" t="s">
        <v>84</v>
      </c>
      <c r="P256" s="69">
        <v>45441.579861111102</v>
      </c>
      <c r="Q256" s="70"/>
      <c r="R256" s="70" t="s">
        <v>31</v>
      </c>
      <c r="S256" s="71">
        <v>45428.8569444444</v>
      </c>
      <c r="T256" s="72" t="s">
        <v>85</v>
      </c>
      <c r="U256" s="63">
        <v>45526.584027777797</v>
      </c>
      <c r="V256" s="64">
        <v>12</v>
      </c>
    </row>
    <row r="257" spans="1:22" ht="11.25" x14ac:dyDescent="0.2">
      <c r="A257" s="65">
        <v>306149</v>
      </c>
      <c r="B257" s="65" t="s">
        <v>958</v>
      </c>
      <c r="C257" s="66" t="s">
        <v>959</v>
      </c>
      <c r="D257" s="66" t="s">
        <v>959</v>
      </c>
      <c r="E257" s="67" t="s">
        <v>828</v>
      </c>
      <c r="F257" s="66" t="s">
        <v>829</v>
      </c>
      <c r="G257" s="67" t="s">
        <v>23</v>
      </c>
      <c r="H257" s="65" t="s">
        <v>179</v>
      </c>
      <c r="I257" s="67" t="s">
        <v>180</v>
      </c>
      <c r="J257" s="67" t="s">
        <v>649</v>
      </c>
      <c r="K257" s="67" t="s">
        <v>650</v>
      </c>
      <c r="L257" s="65" t="s">
        <v>36</v>
      </c>
      <c r="M257" s="68" t="s">
        <v>37</v>
      </c>
      <c r="N257" s="68" t="s">
        <v>51</v>
      </c>
      <c r="O257" s="68" t="s">
        <v>52</v>
      </c>
      <c r="P257" s="69"/>
      <c r="Q257" s="70"/>
      <c r="R257" s="70" t="s">
        <v>31</v>
      </c>
      <c r="S257" s="71">
        <v>45425.837500000001</v>
      </c>
      <c r="T257" s="72" t="s">
        <v>85</v>
      </c>
      <c r="U257" s="63">
        <v>45515.837500000001</v>
      </c>
      <c r="V257" s="64">
        <v>23</v>
      </c>
    </row>
    <row r="258" spans="1:22" ht="11.25" x14ac:dyDescent="0.2">
      <c r="A258" s="65">
        <v>306153</v>
      </c>
      <c r="B258" s="65" t="s">
        <v>960</v>
      </c>
      <c r="C258" s="66" t="s">
        <v>961</v>
      </c>
      <c r="D258" s="66" t="s">
        <v>961</v>
      </c>
      <c r="E258" s="67" t="s">
        <v>42</v>
      </c>
      <c r="F258" s="66" t="s">
        <v>43</v>
      </c>
      <c r="G258" s="67" t="s">
        <v>23</v>
      </c>
      <c r="H258" s="65" t="s">
        <v>49</v>
      </c>
      <c r="I258" s="67" t="s">
        <v>50</v>
      </c>
      <c r="J258" s="67" t="s">
        <v>66</v>
      </c>
      <c r="K258" s="67" t="s">
        <v>67</v>
      </c>
      <c r="L258" s="65" t="s">
        <v>27</v>
      </c>
      <c r="M258" s="68" t="s">
        <v>28</v>
      </c>
      <c r="N258" s="68" t="s">
        <v>90</v>
      </c>
      <c r="O258" s="68" t="s">
        <v>91</v>
      </c>
      <c r="P258" s="69"/>
      <c r="Q258" s="70"/>
      <c r="R258" s="70" t="s">
        <v>40</v>
      </c>
      <c r="S258" s="71">
        <v>45434.684027777803</v>
      </c>
      <c r="T258" s="72" t="s">
        <v>46</v>
      </c>
      <c r="U258" s="63">
        <v>45464.684027777803</v>
      </c>
      <c r="V258" s="64">
        <v>74</v>
      </c>
    </row>
    <row r="259" spans="1:22" ht="11.25" x14ac:dyDescent="0.2">
      <c r="A259" s="65">
        <v>306154</v>
      </c>
      <c r="B259" s="65" t="s">
        <v>962</v>
      </c>
      <c r="C259" s="66" t="s">
        <v>607</v>
      </c>
      <c r="D259" s="66" t="s">
        <v>607</v>
      </c>
      <c r="E259" s="67" t="s">
        <v>175</v>
      </c>
      <c r="F259" s="66" t="s">
        <v>176</v>
      </c>
      <c r="G259" s="67" t="s">
        <v>23</v>
      </c>
      <c r="H259" s="65" t="s">
        <v>179</v>
      </c>
      <c r="I259" s="67" t="s">
        <v>180</v>
      </c>
      <c r="J259" s="67" t="s">
        <v>66</v>
      </c>
      <c r="K259" s="67" t="s">
        <v>67</v>
      </c>
      <c r="L259" s="65" t="s">
        <v>36</v>
      </c>
      <c r="M259" s="68" t="s">
        <v>37</v>
      </c>
      <c r="N259" s="68" t="s">
        <v>90</v>
      </c>
      <c r="O259" s="68" t="s">
        <v>91</v>
      </c>
      <c r="P259" s="69"/>
      <c r="Q259" s="70"/>
      <c r="R259" s="70" t="s">
        <v>31</v>
      </c>
      <c r="S259" s="71">
        <v>45435.535416666702</v>
      </c>
      <c r="T259" s="72" t="s">
        <v>116</v>
      </c>
      <c r="U259" s="63">
        <v>45525.535416666702</v>
      </c>
      <c r="V259" s="64">
        <v>13</v>
      </c>
    </row>
    <row r="260" spans="1:22" ht="11.25" x14ac:dyDescent="0.2">
      <c r="A260" s="65">
        <v>306164</v>
      </c>
      <c r="B260" s="65" t="s">
        <v>963</v>
      </c>
      <c r="C260" s="66" t="s">
        <v>964</v>
      </c>
      <c r="D260" s="66" t="s">
        <v>964</v>
      </c>
      <c r="E260" s="67" t="s">
        <v>267</v>
      </c>
      <c r="F260" s="66" t="s">
        <v>268</v>
      </c>
      <c r="G260" s="67" t="s">
        <v>33</v>
      </c>
      <c r="H260" s="65" t="s">
        <v>179</v>
      </c>
      <c r="I260" s="67" t="s">
        <v>180</v>
      </c>
      <c r="J260" s="67" t="s">
        <v>66</v>
      </c>
      <c r="K260" s="67" t="s">
        <v>67</v>
      </c>
      <c r="L260" s="65" t="s">
        <v>36</v>
      </c>
      <c r="M260" s="68" t="s">
        <v>37</v>
      </c>
      <c r="N260" s="68" t="s">
        <v>83</v>
      </c>
      <c r="O260" s="68" t="s">
        <v>84</v>
      </c>
      <c r="P260" s="69"/>
      <c r="Q260" s="70"/>
      <c r="R260" s="70" t="s">
        <v>31</v>
      </c>
      <c r="S260" s="71">
        <v>45433.5</v>
      </c>
      <c r="T260" s="72" t="s">
        <v>167</v>
      </c>
      <c r="U260" s="63">
        <v>45523.5</v>
      </c>
      <c r="V260" s="64">
        <v>15</v>
      </c>
    </row>
    <row r="261" spans="1:22" ht="11.25" x14ac:dyDescent="0.2">
      <c r="A261" s="65">
        <v>306185</v>
      </c>
      <c r="B261" s="65" t="s">
        <v>970</v>
      </c>
      <c r="C261" s="66" t="s">
        <v>971</v>
      </c>
      <c r="D261" s="66" t="s">
        <v>971</v>
      </c>
      <c r="E261" s="67" t="s">
        <v>207</v>
      </c>
      <c r="F261" s="66" t="s">
        <v>208</v>
      </c>
      <c r="G261" s="67" t="s">
        <v>23</v>
      </c>
      <c r="H261" s="65" t="s">
        <v>278</v>
      </c>
      <c r="I261" s="67" t="s">
        <v>279</v>
      </c>
      <c r="J261" s="67" t="s">
        <v>121</v>
      </c>
      <c r="K261" s="67" t="s">
        <v>122</v>
      </c>
      <c r="L261" s="65" t="s">
        <v>36</v>
      </c>
      <c r="M261" s="68" t="s">
        <v>37</v>
      </c>
      <c r="N261" s="68" t="s">
        <v>201</v>
      </c>
      <c r="O261" s="68" t="s">
        <v>202</v>
      </c>
      <c r="P261" s="69"/>
      <c r="Q261" s="70"/>
      <c r="R261" s="70" t="s">
        <v>40</v>
      </c>
      <c r="S261" s="71">
        <v>45437.5</v>
      </c>
      <c r="T261" s="72" t="s">
        <v>193</v>
      </c>
      <c r="U261" s="63"/>
      <c r="V261" s="64">
        <v>45538</v>
      </c>
    </row>
    <row r="262" spans="1:22" ht="11.25" x14ac:dyDescent="0.2">
      <c r="A262" s="65">
        <v>306186</v>
      </c>
      <c r="B262" s="65" t="s">
        <v>991</v>
      </c>
      <c r="C262" s="66" t="s">
        <v>972</v>
      </c>
      <c r="D262" s="66" t="s">
        <v>972</v>
      </c>
      <c r="E262" s="67" t="s">
        <v>42</v>
      </c>
      <c r="F262" s="66" t="s">
        <v>43</v>
      </c>
      <c r="G262" s="67" t="s">
        <v>23</v>
      </c>
      <c r="H262" s="65" t="s">
        <v>81</v>
      </c>
      <c r="I262" s="67" t="s">
        <v>82</v>
      </c>
      <c r="J262" s="67" t="s">
        <v>217</v>
      </c>
      <c r="K262" s="67" t="s">
        <v>218</v>
      </c>
      <c r="L262" s="65" t="s">
        <v>36</v>
      </c>
      <c r="M262" s="68" t="s">
        <v>37</v>
      </c>
      <c r="N262" s="68" t="s">
        <v>57</v>
      </c>
      <c r="O262" s="68" t="s">
        <v>58</v>
      </c>
      <c r="P262" s="69">
        <v>45446.570833333302</v>
      </c>
      <c r="Q262" s="70"/>
      <c r="R262" s="70" t="s">
        <v>31</v>
      </c>
      <c r="S262" s="71">
        <v>45439.667361111096</v>
      </c>
      <c r="T262" s="72" t="s">
        <v>46</v>
      </c>
      <c r="U262" s="63">
        <v>45529.667361111096</v>
      </c>
      <c r="V262" s="64">
        <v>9</v>
      </c>
    </row>
    <row r="263" spans="1:22" ht="11.25" x14ac:dyDescent="0.2">
      <c r="A263" s="65">
        <v>306194</v>
      </c>
      <c r="B263" s="65" t="s">
        <v>978</v>
      </c>
      <c r="C263" s="66" t="s">
        <v>975</v>
      </c>
      <c r="D263" s="66" t="s">
        <v>975</v>
      </c>
      <c r="E263" s="67" t="s">
        <v>191</v>
      </c>
      <c r="F263" s="66" t="s">
        <v>192</v>
      </c>
      <c r="G263" s="67" t="s">
        <v>23</v>
      </c>
      <c r="H263" s="65" t="s">
        <v>34</v>
      </c>
      <c r="I263" s="67" t="s">
        <v>35</v>
      </c>
      <c r="J263" s="67" t="s">
        <v>121</v>
      </c>
      <c r="K263" s="67" t="s">
        <v>122</v>
      </c>
      <c r="L263" s="65" t="s">
        <v>36</v>
      </c>
      <c r="M263" s="68" t="s">
        <v>37</v>
      </c>
      <c r="N263" s="68" t="s">
        <v>29</v>
      </c>
      <c r="O263" s="68" t="s">
        <v>30</v>
      </c>
      <c r="P263" s="69">
        <v>45441.577777777798</v>
      </c>
      <c r="Q263" s="70"/>
      <c r="R263" s="70" t="s">
        <v>31</v>
      </c>
      <c r="S263" s="71">
        <v>45437.534722222197</v>
      </c>
      <c r="T263" s="72" t="s">
        <v>193</v>
      </c>
      <c r="U263" s="63">
        <v>45527.534722222197</v>
      </c>
      <c r="V263" s="64">
        <v>11</v>
      </c>
    </row>
    <row r="264" spans="1:22" ht="11.25" x14ac:dyDescent="0.2">
      <c r="A264" s="65">
        <v>306219</v>
      </c>
      <c r="B264" s="65" t="s">
        <v>979</v>
      </c>
      <c r="C264" s="66" t="s">
        <v>980</v>
      </c>
      <c r="D264" s="66" t="s">
        <v>981</v>
      </c>
      <c r="E264" s="67" t="s">
        <v>348</v>
      </c>
      <c r="F264" s="66" t="s">
        <v>349</v>
      </c>
      <c r="G264" s="67" t="s">
        <v>33</v>
      </c>
      <c r="H264" s="65" t="s">
        <v>81</v>
      </c>
      <c r="I264" s="67" t="s">
        <v>82</v>
      </c>
      <c r="J264" s="67" t="s">
        <v>855</v>
      </c>
      <c r="K264" s="67" t="s">
        <v>856</v>
      </c>
      <c r="L264" s="65" t="s">
        <v>36</v>
      </c>
      <c r="M264" s="68" t="s">
        <v>37</v>
      </c>
      <c r="N264" s="68" t="s">
        <v>57</v>
      </c>
      <c r="O264" s="68" t="s">
        <v>58</v>
      </c>
      <c r="P264" s="69">
        <v>45447.527777777803</v>
      </c>
      <c r="Q264" s="70"/>
      <c r="R264" s="70" t="s">
        <v>40</v>
      </c>
      <c r="S264" s="71">
        <v>45440.768750000003</v>
      </c>
      <c r="T264" s="72"/>
      <c r="U264" s="63">
        <v>45442.260416666701</v>
      </c>
      <c r="V264" s="64">
        <v>96</v>
      </c>
    </row>
    <row r="265" spans="1:22" ht="11.25" x14ac:dyDescent="0.2">
      <c r="A265" s="65">
        <v>306220</v>
      </c>
      <c r="B265" s="65" t="s">
        <v>982</v>
      </c>
      <c r="C265" s="66" t="s">
        <v>983</v>
      </c>
      <c r="D265" s="66" t="s">
        <v>984</v>
      </c>
      <c r="E265" s="67" t="s">
        <v>42</v>
      </c>
      <c r="F265" s="66" t="s">
        <v>43</v>
      </c>
      <c r="G265" s="67" t="s">
        <v>23</v>
      </c>
      <c r="H265" s="65" t="s">
        <v>81</v>
      </c>
      <c r="I265" s="67" t="s">
        <v>82</v>
      </c>
      <c r="J265" s="67" t="s">
        <v>469</v>
      </c>
      <c r="K265" s="67" t="s">
        <v>470</v>
      </c>
      <c r="L265" s="65" t="s">
        <v>36</v>
      </c>
      <c r="M265" s="68" t="s">
        <v>37</v>
      </c>
      <c r="N265" s="68" t="s">
        <v>57</v>
      </c>
      <c r="O265" s="68" t="s">
        <v>58</v>
      </c>
      <c r="P265" s="69">
        <v>45442.262499999997</v>
      </c>
      <c r="Q265" s="70"/>
      <c r="R265" s="70" t="s">
        <v>31</v>
      </c>
      <c r="S265" s="71">
        <v>45440.440972222197</v>
      </c>
      <c r="T265" s="72"/>
      <c r="U265" s="63">
        <v>45532.261805555601</v>
      </c>
      <c r="V265" s="64">
        <v>6</v>
      </c>
    </row>
    <row r="266" spans="1:22" ht="11.25" x14ac:dyDescent="0.2">
      <c r="A266" s="65">
        <v>306223</v>
      </c>
      <c r="B266" s="65" t="s">
        <v>985</v>
      </c>
      <c r="C266" s="66" t="s">
        <v>986</v>
      </c>
      <c r="D266" s="66" t="s">
        <v>986</v>
      </c>
      <c r="E266" s="67" t="s">
        <v>973</v>
      </c>
      <c r="F266" s="66" t="s">
        <v>974</v>
      </c>
      <c r="G266" s="67" t="s">
        <v>23</v>
      </c>
      <c r="H266" s="65" t="s">
        <v>179</v>
      </c>
      <c r="I266" s="67" t="s">
        <v>180</v>
      </c>
      <c r="J266" s="67" t="s">
        <v>121</v>
      </c>
      <c r="K266" s="67" t="s">
        <v>122</v>
      </c>
      <c r="L266" s="65" t="s">
        <v>36</v>
      </c>
      <c r="M266" s="68" t="s">
        <v>37</v>
      </c>
      <c r="N266" s="68" t="s">
        <v>83</v>
      </c>
      <c r="O266" s="68" t="s">
        <v>84</v>
      </c>
      <c r="P266" s="69"/>
      <c r="Q266" s="70"/>
      <c r="R266" s="70" t="s">
        <v>31</v>
      </c>
      <c r="S266" s="71">
        <v>45440.427777777797</v>
      </c>
      <c r="T266" s="72" t="s">
        <v>193</v>
      </c>
      <c r="U266" s="63">
        <v>45530.427777777797</v>
      </c>
      <c r="V266" s="64">
        <v>8</v>
      </c>
    </row>
    <row r="267" spans="1:22" ht="11.25" x14ac:dyDescent="0.2">
      <c r="A267" s="65">
        <v>306225</v>
      </c>
      <c r="B267" s="65" t="s">
        <v>987</v>
      </c>
      <c r="C267" s="66" t="s">
        <v>988</v>
      </c>
      <c r="D267" s="66" t="s">
        <v>988</v>
      </c>
      <c r="E267" s="67" t="s">
        <v>973</v>
      </c>
      <c r="F267" s="66" t="s">
        <v>974</v>
      </c>
      <c r="G267" s="67" t="s">
        <v>23</v>
      </c>
      <c r="H267" s="65" t="s">
        <v>34</v>
      </c>
      <c r="I267" s="67" t="s">
        <v>35</v>
      </c>
      <c r="J267" s="67" t="s">
        <v>121</v>
      </c>
      <c r="K267" s="67" t="s">
        <v>122</v>
      </c>
      <c r="L267" s="65" t="s">
        <v>36</v>
      </c>
      <c r="M267" s="68" t="s">
        <v>37</v>
      </c>
      <c r="N267" s="68" t="s">
        <v>29</v>
      </c>
      <c r="O267" s="68" t="s">
        <v>30</v>
      </c>
      <c r="P267" s="69">
        <v>45448.606249999997</v>
      </c>
      <c r="Q267" s="70"/>
      <c r="R267" s="70" t="s">
        <v>31</v>
      </c>
      <c r="S267" s="71">
        <v>45440.434722222199</v>
      </c>
      <c r="T267" s="72" t="s">
        <v>80</v>
      </c>
      <c r="U267" s="63">
        <v>45532.490277777797</v>
      </c>
      <c r="V267" s="64">
        <v>6</v>
      </c>
    </row>
    <row r="268" spans="1:22" ht="11.25" x14ac:dyDescent="0.2">
      <c r="A268" s="65">
        <v>306244</v>
      </c>
      <c r="B268" s="65" t="s">
        <v>993</v>
      </c>
      <c r="C268" s="66" t="s">
        <v>994</v>
      </c>
      <c r="D268" s="66" t="s">
        <v>994</v>
      </c>
      <c r="E268" s="67" t="s">
        <v>199</v>
      </c>
      <c r="F268" s="66" t="s">
        <v>200</v>
      </c>
      <c r="G268" s="67" t="s">
        <v>23</v>
      </c>
      <c r="H268" s="65" t="s">
        <v>49</v>
      </c>
      <c r="I268" s="67" t="s">
        <v>50</v>
      </c>
      <c r="J268" s="67" t="s">
        <v>571</v>
      </c>
      <c r="K268" s="67" t="s">
        <v>572</v>
      </c>
      <c r="L268" s="65" t="s">
        <v>36</v>
      </c>
      <c r="M268" s="68" t="s">
        <v>37</v>
      </c>
      <c r="N268" s="68" t="s">
        <v>29</v>
      </c>
      <c r="O268" s="68" t="s">
        <v>30</v>
      </c>
      <c r="P268" s="69">
        <v>45534.425694444399</v>
      </c>
      <c r="Q268" s="70"/>
      <c r="R268" s="70" t="s">
        <v>31</v>
      </c>
      <c r="S268" s="71">
        <v>45443.427083333299</v>
      </c>
      <c r="T268" s="72" t="s">
        <v>239</v>
      </c>
      <c r="U268" s="63">
        <v>45537.559027777803</v>
      </c>
      <c r="V268" s="64">
        <v>1</v>
      </c>
    </row>
    <row r="269" spans="1:22" ht="11.25" x14ac:dyDescent="0.2">
      <c r="A269" s="65">
        <v>306246</v>
      </c>
      <c r="B269" s="65" t="s">
        <v>995</v>
      </c>
      <c r="C269" s="66" t="s">
        <v>996</v>
      </c>
      <c r="D269" s="66" t="s">
        <v>997</v>
      </c>
      <c r="E269" s="67" t="s">
        <v>199</v>
      </c>
      <c r="F269" s="66" t="s">
        <v>200</v>
      </c>
      <c r="G269" s="67" t="s">
        <v>23</v>
      </c>
      <c r="H269" s="65" t="s">
        <v>49</v>
      </c>
      <c r="I269" s="67" t="s">
        <v>50</v>
      </c>
      <c r="J269" s="67" t="s">
        <v>571</v>
      </c>
      <c r="K269" s="67" t="s">
        <v>572</v>
      </c>
      <c r="L269" s="65" t="s">
        <v>36</v>
      </c>
      <c r="M269" s="68" t="s">
        <v>37</v>
      </c>
      <c r="N269" s="68" t="s">
        <v>29</v>
      </c>
      <c r="O269" s="68" t="s">
        <v>30</v>
      </c>
      <c r="P269" s="69">
        <v>45534.425694444399</v>
      </c>
      <c r="Q269" s="70"/>
      <c r="R269" s="70" t="s">
        <v>31</v>
      </c>
      <c r="S269" s="71">
        <v>45442.917361111096</v>
      </c>
      <c r="T269" s="72" t="s">
        <v>239</v>
      </c>
      <c r="U269" s="63">
        <v>45537.559027777803</v>
      </c>
      <c r="V269" s="64">
        <v>1</v>
      </c>
    </row>
    <row r="270" spans="1:22" ht="11.25" x14ac:dyDescent="0.2">
      <c r="A270" s="65">
        <v>306247</v>
      </c>
      <c r="B270" s="65" t="s">
        <v>998</v>
      </c>
      <c r="C270" s="66" t="s">
        <v>999</v>
      </c>
      <c r="D270" s="66" t="s">
        <v>999</v>
      </c>
      <c r="E270" s="67" t="s">
        <v>199</v>
      </c>
      <c r="F270" s="66" t="s">
        <v>200</v>
      </c>
      <c r="G270" s="67" t="s">
        <v>23</v>
      </c>
      <c r="H270" s="65" t="s">
        <v>49</v>
      </c>
      <c r="I270" s="67" t="s">
        <v>50</v>
      </c>
      <c r="J270" s="67" t="s">
        <v>571</v>
      </c>
      <c r="K270" s="67" t="s">
        <v>572</v>
      </c>
      <c r="L270" s="65" t="s">
        <v>36</v>
      </c>
      <c r="M270" s="68" t="s">
        <v>37</v>
      </c>
      <c r="N270" s="68" t="s">
        <v>29</v>
      </c>
      <c r="O270" s="68" t="s">
        <v>30</v>
      </c>
      <c r="P270" s="69">
        <v>45534.425000000003</v>
      </c>
      <c r="Q270" s="70"/>
      <c r="R270" s="70" t="s">
        <v>31</v>
      </c>
      <c r="S270" s="71">
        <v>45442.695833333302</v>
      </c>
      <c r="T270" s="72" t="s">
        <v>239</v>
      </c>
      <c r="U270" s="63">
        <v>45537.559027777803</v>
      </c>
      <c r="V270" s="64">
        <v>1</v>
      </c>
    </row>
    <row r="271" spans="1:22" ht="11.25" x14ac:dyDescent="0.2">
      <c r="A271" s="65">
        <v>306248</v>
      </c>
      <c r="B271" s="65" t="s">
        <v>1000</v>
      </c>
      <c r="C271" s="66" t="s">
        <v>1001</v>
      </c>
      <c r="D271" s="66" t="s">
        <v>1001</v>
      </c>
      <c r="E271" s="67" t="s">
        <v>199</v>
      </c>
      <c r="F271" s="66" t="s">
        <v>200</v>
      </c>
      <c r="G271" s="67" t="s">
        <v>23</v>
      </c>
      <c r="H271" s="65" t="s">
        <v>49</v>
      </c>
      <c r="I271" s="67" t="s">
        <v>50</v>
      </c>
      <c r="J271" s="67" t="s">
        <v>571</v>
      </c>
      <c r="K271" s="67" t="s">
        <v>572</v>
      </c>
      <c r="L271" s="65" t="s">
        <v>36</v>
      </c>
      <c r="M271" s="68" t="s">
        <v>37</v>
      </c>
      <c r="N271" s="68" t="s">
        <v>29</v>
      </c>
      <c r="O271" s="68" t="s">
        <v>30</v>
      </c>
      <c r="P271" s="69">
        <v>45534.425000000003</v>
      </c>
      <c r="Q271" s="70"/>
      <c r="R271" s="70" t="s">
        <v>31</v>
      </c>
      <c r="S271" s="71">
        <v>45442.709027777797</v>
      </c>
      <c r="T271" s="72" t="s">
        <v>239</v>
      </c>
      <c r="U271" s="63">
        <v>45537.559027777803</v>
      </c>
      <c r="V271" s="64">
        <v>1</v>
      </c>
    </row>
    <row r="272" spans="1:22" ht="11.25" x14ac:dyDescent="0.2">
      <c r="A272" s="65">
        <v>306273</v>
      </c>
      <c r="B272" s="65" t="s">
        <v>1003</v>
      </c>
      <c r="C272" s="66" t="s">
        <v>1004</v>
      </c>
      <c r="D272" s="66" t="s">
        <v>1004</v>
      </c>
      <c r="E272" s="67" t="s">
        <v>228</v>
      </c>
      <c r="F272" s="66" t="s">
        <v>229</v>
      </c>
      <c r="G272" s="67" t="s">
        <v>23</v>
      </c>
      <c r="H272" s="65" t="s">
        <v>34</v>
      </c>
      <c r="I272" s="67" t="s">
        <v>35</v>
      </c>
      <c r="J272" s="67" t="s">
        <v>128</v>
      </c>
      <c r="K272" s="67" t="s">
        <v>129</v>
      </c>
      <c r="L272" s="65" t="s">
        <v>36</v>
      </c>
      <c r="M272" s="68" t="s">
        <v>37</v>
      </c>
      <c r="N272" s="68" t="s">
        <v>29</v>
      </c>
      <c r="O272" s="68" t="s">
        <v>30</v>
      </c>
      <c r="P272" s="69">
        <v>45467.628472222197</v>
      </c>
      <c r="Q272" s="70"/>
      <c r="R272" s="70" t="s">
        <v>31</v>
      </c>
      <c r="S272" s="71">
        <v>45441.541666666701</v>
      </c>
      <c r="T272" s="72" t="s">
        <v>116</v>
      </c>
      <c r="U272" s="63">
        <v>45538.399305555598</v>
      </c>
      <c r="V272" s="64">
        <v>0</v>
      </c>
    </row>
    <row r="273" spans="1:22" ht="11.25" x14ac:dyDescent="0.2">
      <c r="A273" s="65">
        <v>306274</v>
      </c>
      <c r="B273" s="65" t="s">
        <v>1005</v>
      </c>
      <c r="C273" s="66" t="s">
        <v>1006</v>
      </c>
      <c r="D273" s="66" t="s">
        <v>1006</v>
      </c>
      <c r="E273" s="67" t="s">
        <v>1007</v>
      </c>
      <c r="F273" s="66" t="s">
        <v>1008</v>
      </c>
      <c r="G273" s="67" t="s">
        <v>23</v>
      </c>
      <c r="H273" s="65" t="s">
        <v>34</v>
      </c>
      <c r="I273" s="67" t="s">
        <v>35</v>
      </c>
      <c r="J273" s="67" t="s">
        <v>121</v>
      </c>
      <c r="K273" s="67" t="s">
        <v>122</v>
      </c>
      <c r="L273" s="65" t="s">
        <v>36</v>
      </c>
      <c r="M273" s="68" t="s">
        <v>37</v>
      </c>
      <c r="N273" s="68" t="s">
        <v>29</v>
      </c>
      <c r="O273" s="68" t="s">
        <v>30</v>
      </c>
      <c r="P273" s="69">
        <v>45453.357638888898</v>
      </c>
      <c r="Q273" s="70"/>
      <c r="R273" s="70" t="s">
        <v>31</v>
      </c>
      <c r="S273" s="71">
        <v>45439.265277777798</v>
      </c>
      <c r="T273" s="72" t="s">
        <v>161</v>
      </c>
      <c r="U273" s="63">
        <v>45538.399305555598</v>
      </c>
      <c r="V273" s="64">
        <v>0</v>
      </c>
    </row>
    <row r="274" spans="1:22" ht="11.25" x14ac:dyDescent="0.2">
      <c r="A274" s="65">
        <v>306275</v>
      </c>
      <c r="B274" s="65" t="s">
        <v>1009</v>
      </c>
      <c r="C274" s="66" t="s">
        <v>1010</v>
      </c>
      <c r="D274" s="66" t="s">
        <v>1028</v>
      </c>
      <c r="E274" s="67" t="s">
        <v>42</v>
      </c>
      <c r="F274" s="66" t="s">
        <v>43</v>
      </c>
      <c r="G274" s="67" t="s">
        <v>23</v>
      </c>
      <c r="H274" s="65" t="s">
        <v>44</v>
      </c>
      <c r="I274" s="67" t="s">
        <v>45</v>
      </c>
      <c r="J274" s="67" t="s">
        <v>469</v>
      </c>
      <c r="K274" s="67" t="s">
        <v>470</v>
      </c>
      <c r="L274" s="65" t="s">
        <v>36</v>
      </c>
      <c r="M274" s="68" t="s">
        <v>37</v>
      </c>
      <c r="N274" s="68" t="s">
        <v>29</v>
      </c>
      <c r="O274" s="68" t="s">
        <v>30</v>
      </c>
      <c r="P274" s="69">
        <v>45472.25</v>
      </c>
      <c r="Q274" s="70"/>
      <c r="R274" s="70" t="s">
        <v>31</v>
      </c>
      <c r="S274" s="71">
        <v>45436.292361111096</v>
      </c>
      <c r="T274" s="72" t="s">
        <v>46</v>
      </c>
      <c r="U274" s="63">
        <v>45538.399305555598</v>
      </c>
      <c r="V274" s="64">
        <v>0</v>
      </c>
    </row>
    <row r="275" spans="1:22" ht="11.25" x14ac:dyDescent="0.2">
      <c r="A275" s="65">
        <v>306285</v>
      </c>
      <c r="B275" s="65" t="s">
        <v>1013</v>
      </c>
      <c r="C275" s="66" t="s">
        <v>1014</v>
      </c>
      <c r="D275" s="66" t="s">
        <v>1015</v>
      </c>
      <c r="E275" s="67" t="s">
        <v>63</v>
      </c>
      <c r="F275" s="66" t="s">
        <v>64</v>
      </c>
      <c r="G275" s="67" t="s">
        <v>33</v>
      </c>
      <c r="H275" s="65" t="s">
        <v>81</v>
      </c>
      <c r="I275" s="67" t="s">
        <v>82</v>
      </c>
      <c r="J275" s="67" t="s">
        <v>325</v>
      </c>
      <c r="K275" s="67" t="s">
        <v>326</v>
      </c>
      <c r="L275" s="65" t="s">
        <v>36</v>
      </c>
      <c r="M275" s="68" t="s">
        <v>37</v>
      </c>
      <c r="N275" s="68" t="s">
        <v>38</v>
      </c>
      <c r="O275" s="68" t="s">
        <v>39</v>
      </c>
      <c r="P275" s="69">
        <v>45450.636111111096</v>
      </c>
      <c r="Q275" s="70"/>
      <c r="R275" s="70" t="s">
        <v>31</v>
      </c>
      <c r="S275" s="71">
        <v>45449.421527777798</v>
      </c>
      <c r="T275" s="72"/>
      <c r="U275" s="63">
        <v>45539.634722222203</v>
      </c>
      <c r="V275" s="64">
        <v>-1</v>
      </c>
    </row>
    <row r="276" spans="1:22" ht="11.25" x14ac:dyDescent="0.2">
      <c r="A276" s="65">
        <v>306287</v>
      </c>
      <c r="B276" s="65" t="s">
        <v>1016</v>
      </c>
      <c r="C276" s="66" t="s">
        <v>1017</v>
      </c>
      <c r="D276" s="66" t="s">
        <v>1018</v>
      </c>
      <c r="E276" s="67" t="s">
        <v>525</v>
      </c>
      <c r="F276" s="66" t="s">
        <v>526</v>
      </c>
      <c r="G276" s="67" t="s">
        <v>23</v>
      </c>
      <c r="H276" s="65" t="s">
        <v>34</v>
      </c>
      <c r="I276" s="67" t="s">
        <v>35</v>
      </c>
      <c r="J276" s="67" t="s">
        <v>25</v>
      </c>
      <c r="K276" s="67" t="s">
        <v>26</v>
      </c>
      <c r="L276" s="65" t="s">
        <v>36</v>
      </c>
      <c r="M276" s="68" t="s">
        <v>37</v>
      </c>
      <c r="N276" s="68" t="s">
        <v>51</v>
      </c>
      <c r="O276" s="68" t="s">
        <v>52</v>
      </c>
      <c r="P276" s="69">
        <v>45450.6381944444</v>
      </c>
      <c r="Q276" s="70"/>
      <c r="R276" s="70" t="s">
        <v>31</v>
      </c>
      <c r="S276" s="71">
        <v>45450.259722222203</v>
      </c>
      <c r="T276" s="72"/>
      <c r="U276" s="63">
        <v>45540.635416666701</v>
      </c>
      <c r="V276" s="64">
        <v>-2</v>
      </c>
    </row>
    <row r="277" spans="1:22" ht="11.25" x14ac:dyDescent="0.2">
      <c r="A277" s="65">
        <v>306289</v>
      </c>
      <c r="B277" s="65" t="s">
        <v>1019</v>
      </c>
      <c r="C277" s="66" t="s">
        <v>1020</v>
      </c>
      <c r="D277" s="66" t="s">
        <v>1021</v>
      </c>
      <c r="E277" s="67" t="s">
        <v>1022</v>
      </c>
      <c r="F277" s="66" t="s">
        <v>1023</v>
      </c>
      <c r="G277" s="67" t="s">
        <v>33</v>
      </c>
      <c r="H277" s="65" t="s">
        <v>34</v>
      </c>
      <c r="I277" s="67" t="s">
        <v>35</v>
      </c>
      <c r="J277" s="67" t="s">
        <v>66</v>
      </c>
      <c r="K277" s="67" t="s">
        <v>67</v>
      </c>
      <c r="L277" s="65" t="s">
        <v>36</v>
      </c>
      <c r="M277" s="68" t="s">
        <v>37</v>
      </c>
      <c r="N277" s="68" t="s">
        <v>57</v>
      </c>
      <c r="O277" s="68" t="s">
        <v>58</v>
      </c>
      <c r="P277" s="69">
        <v>45450.647916666698</v>
      </c>
      <c r="Q277" s="70"/>
      <c r="R277" s="70" t="s">
        <v>31</v>
      </c>
      <c r="S277" s="71">
        <v>45450.574999999997</v>
      </c>
      <c r="T277" s="72"/>
      <c r="U277" s="63">
        <v>45540.646527777797</v>
      </c>
      <c r="V277" s="64">
        <v>-2</v>
      </c>
    </row>
    <row r="278" spans="1:22" ht="11.25" x14ac:dyDescent="0.2">
      <c r="A278" s="65">
        <v>306300</v>
      </c>
      <c r="B278" s="65" t="s">
        <v>1031</v>
      </c>
      <c r="C278" s="66" t="s">
        <v>1032</v>
      </c>
      <c r="D278" s="66" t="s">
        <v>1033</v>
      </c>
      <c r="E278" s="67" t="s">
        <v>209</v>
      </c>
      <c r="F278" s="66" t="s">
        <v>210</v>
      </c>
      <c r="G278" s="67" t="s">
        <v>33</v>
      </c>
      <c r="H278" s="65" t="s">
        <v>49</v>
      </c>
      <c r="I278" s="67" t="s">
        <v>50</v>
      </c>
      <c r="J278" s="67" t="s">
        <v>66</v>
      </c>
      <c r="K278" s="67" t="s">
        <v>67</v>
      </c>
      <c r="L278" s="65" t="s">
        <v>36</v>
      </c>
      <c r="M278" s="68" t="s">
        <v>37</v>
      </c>
      <c r="N278" s="68" t="s">
        <v>83</v>
      </c>
      <c r="O278" s="68" t="s">
        <v>84</v>
      </c>
      <c r="P278" s="69">
        <v>45455.333333333299</v>
      </c>
      <c r="Q278" s="70"/>
      <c r="R278" s="70" t="s">
        <v>31</v>
      </c>
      <c r="S278" s="71">
        <v>45448.738194444399</v>
      </c>
      <c r="T278" s="72" t="s">
        <v>211</v>
      </c>
      <c r="U278" s="63">
        <v>45543.536805555603</v>
      </c>
      <c r="V278" s="64">
        <v>-5</v>
      </c>
    </row>
    <row r="279" spans="1:22" ht="11.25" x14ac:dyDescent="0.2">
      <c r="A279" s="65">
        <v>306303</v>
      </c>
      <c r="B279" s="65" t="s">
        <v>1029</v>
      </c>
      <c r="C279" s="66" t="s">
        <v>1030</v>
      </c>
      <c r="D279" s="66" t="s">
        <v>1030</v>
      </c>
      <c r="E279" s="67" t="s">
        <v>967</v>
      </c>
      <c r="F279" s="66" t="s">
        <v>968</v>
      </c>
      <c r="G279" s="67" t="s">
        <v>33</v>
      </c>
      <c r="H279" s="65" t="s">
        <v>179</v>
      </c>
      <c r="I279" s="67" t="s">
        <v>180</v>
      </c>
      <c r="J279" s="67" t="s">
        <v>66</v>
      </c>
      <c r="K279" s="67" t="s">
        <v>67</v>
      </c>
      <c r="L279" s="65" t="s">
        <v>36</v>
      </c>
      <c r="M279" s="68" t="s">
        <v>37</v>
      </c>
      <c r="N279" s="68" t="s">
        <v>38</v>
      </c>
      <c r="O279" s="68" t="s">
        <v>39</v>
      </c>
      <c r="P279" s="69"/>
      <c r="Q279" s="70"/>
      <c r="R279" s="70" t="s">
        <v>31</v>
      </c>
      <c r="S279" s="71">
        <v>45448.744444444397</v>
      </c>
      <c r="T279" s="72" t="s">
        <v>1034</v>
      </c>
      <c r="U279" s="63">
        <v>45538.744444444397</v>
      </c>
      <c r="V279" s="64">
        <v>0</v>
      </c>
    </row>
    <row r="280" spans="1:22" ht="11.25" x14ac:dyDescent="0.2">
      <c r="A280" s="65">
        <v>306304</v>
      </c>
      <c r="B280" s="65" t="s">
        <v>1035</v>
      </c>
      <c r="C280" s="66" t="s">
        <v>1036</v>
      </c>
      <c r="D280" s="66" t="s">
        <v>1037</v>
      </c>
      <c r="E280" s="67" t="s">
        <v>223</v>
      </c>
      <c r="F280" s="66" t="s">
        <v>224</v>
      </c>
      <c r="G280" s="67" t="s">
        <v>23</v>
      </c>
      <c r="H280" s="65" t="s">
        <v>22</v>
      </c>
      <c r="I280" s="67" t="s">
        <v>24</v>
      </c>
      <c r="J280" s="67" t="s">
        <v>989</v>
      </c>
      <c r="K280" s="67" t="s">
        <v>990</v>
      </c>
      <c r="L280" s="65" t="s">
        <v>36</v>
      </c>
      <c r="M280" s="68" t="s">
        <v>37</v>
      </c>
      <c r="N280" s="68" t="s">
        <v>57</v>
      </c>
      <c r="O280" s="68" t="s">
        <v>58</v>
      </c>
      <c r="P280" s="69">
        <v>45455.392361111102</v>
      </c>
      <c r="Q280" s="70"/>
      <c r="R280" s="70" t="s">
        <v>31</v>
      </c>
      <c r="S280" s="71">
        <v>45453.354861111096</v>
      </c>
      <c r="T280" s="72" t="s">
        <v>135</v>
      </c>
      <c r="U280" s="63">
        <v>45543.536805555603</v>
      </c>
      <c r="V280" s="64">
        <v>-5</v>
      </c>
    </row>
    <row r="281" spans="1:22" ht="11.25" x14ac:dyDescent="0.2">
      <c r="A281" s="65">
        <v>306305</v>
      </c>
      <c r="B281" s="65" t="s">
        <v>1038</v>
      </c>
      <c r="C281" s="66" t="s">
        <v>1413</v>
      </c>
      <c r="D281" s="66" t="s">
        <v>1413</v>
      </c>
      <c r="E281" s="67" t="s">
        <v>141</v>
      </c>
      <c r="F281" s="66" t="s">
        <v>142</v>
      </c>
      <c r="G281" s="67" t="s">
        <v>23</v>
      </c>
      <c r="H281" s="65" t="s">
        <v>34</v>
      </c>
      <c r="I281" s="67" t="s">
        <v>35</v>
      </c>
      <c r="J281" s="67" t="s">
        <v>226</v>
      </c>
      <c r="K281" s="67" t="s">
        <v>227</v>
      </c>
      <c r="L281" s="65" t="s">
        <v>36</v>
      </c>
      <c r="M281" s="68" t="s">
        <v>37</v>
      </c>
      <c r="N281" s="68" t="s">
        <v>29</v>
      </c>
      <c r="O281" s="68" t="s">
        <v>30</v>
      </c>
      <c r="P281" s="69">
        <v>45493.5805555556</v>
      </c>
      <c r="Q281" s="70"/>
      <c r="R281" s="70" t="s">
        <v>40</v>
      </c>
      <c r="S281" s="71">
        <v>45449.904166666704</v>
      </c>
      <c r="T281" s="72" t="s">
        <v>85</v>
      </c>
      <c r="U281" s="63">
        <v>45479.904166666704</v>
      </c>
      <c r="V281" s="64">
        <v>59</v>
      </c>
    </row>
    <row r="282" spans="1:22" ht="11.25" x14ac:dyDescent="0.2">
      <c r="A282" s="65">
        <v>306310</v>
      </c>
      <c r="B282" s="65" t="s">
        <v>1039</v>
      </c>
      <c r="C282" s="66" t="s">
        <v>1040</v>
      </c>
      <c r="D282" s="66" t="s">
        <v>1041</v>
      </c>
      <c r="E282" s="67" t="s">
        <v>157</v>
      </c>
      <c r="F282" s="66" t="s">
        <v>158</v>
      </c>
      <c r="G282" s="67" t="s">
        <v>23</v>
      </c>
      <c r="H282" s="65" t="s">
        <v>22</v>
      </c>
      <c r="I282" s="67" t="s">
        <v>24</v>
      </c>
      <c r="J282" s="67" t="s">
        <v>226</v>
      </c>
      <c r="K282" s="67" t="s">
        <v>227</v>
      </c>
      <c r="L282" s="65" t="s">
        <v>36</v>
      </c>
      <c r="M282" s="68" t="s">
        <v>37</v>
      </c>
      <c r="N282" s="68" t="s">
        <v>57</v>
      </c>
      <c r="O282" s="68" t="s">
        <v>58</v>
      </c>
      <c r="P282" s="69">
        <v>45455.392361111102</v>
      </c>
      <c r="Q282" s="70"/>
      <c r="R282" s="70" t="s">
        <v>40</v>
      </c>
      <c r="S282" s="71">
        <v>45450.890972222202</v>
      </c>
      <c r="T282" s="72" t="s">
        <v>85</v>
      </c>
      <c r="U282" s="63">
        <v>45453.536805555603</v>
      </c>
      <c r="V282" s="64">
        <v>85</v>
      </c>
    </row>
    <row r="283" spans="1:22" ht="11.25" x14ac:dyDescent="0.2">
      <c r="A283" s="65">
        <v>306312</v>
      </c>
      <c r="B283" s="65" t="s">
        <v>1035</v>
      </c>
      <c r="C283" s="66" t="s">
        <v>1042</v>
      </c>
      <c r="D283" s="66" t="s">
        <v>1229</v>
      </c>
      <c r="E283" s="67" t="s">
        <v>223</v>
      </c>
      <c r="F283" s="66" t="s">
        <v>224</v>
      </c>
      <c r="G283" s="67" t="s">
        <v>23</v>
      </c>
      <c r="H283" s="65" t="s">
        <v>22</v>
      </c>
      <c r="I283" s="67" t="s">
        <v>24</v>
      </c>
      <c r="J283" s="67" t="s">
        <v>989</v>
      </c>
      <c r="K283" s="67" t="s">
        <v>990</v>
      </c>
      <c r="L283" s="65" t="s">
        <v>36</v>
      </c>
      <c r="M283" s="68" t="s">
        <v>37</v>
      </c>
      <c r="N283" s="68" t="s">
        <v>57</v>
      </c>
      <c r="O283" s="68" t="s">
        <v>58</v>
      </c>
      <c r="P283" s="69">
        <v>45454.602083333302</v>
      </c>
      <c r="Q283" s="70"/>
      <c r="R283" s="70" t="s">
        <v>31</v>
      </c>
      <c r="S283" s="71">
        <v>45453.315972222197</v>
      </c>
      <c r="T283" s="72"/>
      <c r="U283" s="63">
        <v>45543.601388888899</v>
      </c>
      <c r="V283" s="64">
        <v>-5</v>
      </c>
    </row>
    <row r="284" spans="1:22" ht="11.25" x14ac:dyDescent="0.2">
      <c r="A284" s="65">
        <v>306316</v>
      </c>
      <c r="B284" s="65" t="s">
        <v>1043</v>
      </c>
      <c r="C284" s="66" t="s">
        <v>1044</v>
      </c>
      <c r="D284" s="66" t="s">
        <v>1045</v>
      </c>
      <c r="E284" s="67" t="s">
        <v>194</v>
      </c>
      <c r="F284" s="66" t="s">
        <v>195</v>
      </c>
      <c r="G284" s="67" t="s">
        <v>23</v>
      </c>
      <c r="H284" s="65" t="s">
        <v>34</v>
      </c>
      <c r="I284" s="67" t="s">
        <v>35</v>
      </c>
      <c r="J284" s="67" t="s">
        <v>121</v>
      </c>
      <c r="K284" s="67" t="s">
        <v>122</v>
      </c>
      <c r="L284" s="65" t="s">
        <v>36</v>
      </c>
      <c r="M284" s="68" t="s">
        <v>37</v>
      </c>
      <c r="N284" s="68" t="s">
        <v>51</v>
      </c>
      <c r="O284" s="68" t="s">
        <v>52</v>
      </c>
      <c r="P284" s="69">
        <v>45455.333333333299</v>
      </c>
      <c r="Q284" s="70"/>
      <c r="R284" s="70" t="s">
        <v>31</v>
      </c>
      <c r="S284" s="71">
        <v>45454.221527777801</v>
      </c>
      <c r="T284" s="72"/>
      <c r="U284" s="63">
        <v>45545.3215277778</v>
      </c>
      <c r="V284" s="64">
        <v>-7</v>
      </c>
    </row>
    <row r="285" spans="1:22" ht="11.25" x14ac:dyDescent="0.2">
      <c r="A285" s="65">
        <v>306325</v>
      </c>
      <c r="B285" s="65" t="s">
        <v>1046</v>
      </c>
      <c r="C285" s="66" t="s">
        <v>1047</v>
      </c>
      <c r="D285" s="66" t="s">
        <v>1048</v>
      </c>
      <c r="E285" s="67" t="s">
        <v>1049</v>
      </c>
      <c r="F285" s="66" t="s">
        <v>1050</v>
      </c>
      <c r="G285" s="67" t="s">
        <v>33</v>
      </c>
      <c r="H285" s="65" t="s">
        <v>34</v>
      </c>
      <c r="I285" s="67" t="s">
        <v>35</v>
      </c>
      <c r="J285" s="67" t="s">
        <v>66</v>
      </c>
      <c r="K285" s="67" t="s">
        <v>67</v>
      </c>
      <c r="L285" s="65" t="s">
        <v>36</v>
      </c>
      <c r="M285" s="68" t="s">
        <v>37</v>
      </c>
      <c r="N285" s="68" t="s">
        <v>90</v>
      </c>
      <c r="O285" s="68" t="s">
        <v>91</v>
      </c>
      <c r="P285" s="69">
        <v>45456.333333333299</v>
      </c>
      <c r="Q285" s="70"/>
      <c r="R285" s="70" t="s">
        <v>31</v>
      </c>
      <c r="S285" s="71">
        <v>45455.620833333298</v>
      </c>
      <c r="T285" s="72"/>
      <c r="U285" s="63">
        <v>45545.664583333302</v>
      </c>
      <c r="V285" s="64">
        <v>-7</v>
      </c>
    </row>
    <row r="286" spans="1:22" ht="11.25" x14ac:dyDescent="0.2">
      <c r="A286" s="65">
        <v>306326</v>
      </c>
      <c r="B286" s="65" t="s">
        <v>1466</v>
      </c>
      <c r="C286" s="66" t="s">
        <v>1002</v>
      </c>
      <c r="D286" s="66" t="s">
        <v>1467</v>
      </c>
      <c r="E286" s="67" t="s">
        <v>1468</v>
      </c>
      <c r="F286" s="66" t="s">
        <v>1469</v>
      </c>
      <c r="G286" s="67" t="s">
        <v>23</v>
      </c>
      <c r="H286" s="65" t="s">
        <v>467</v>
      </c>
      <c r="I286" s="67" t="s">
        <v>468</v>
      </c>
      <c r="J286" s="67" t="s">
        <v>66</v>
      </c>
      <c r="K286" s="67" t="s">
        <v>67</v>
      </c>
      <c r="L286" s="65" t="s">
        <v>36</v>
      </c>
      <c r="M286" s="68" t="s">
        <v>37</v>
      </c>
      <c r="N286" s="68" t="s">
        <v>90</v>
      </c>
      <c r="O286" s="68" t="s">
        <v>91</v>
      </c>
      <c r="P286" s="69"/>
      <c r="Q286" s="70"/>
      <c r="R286" s="70" t="s">
        <v>31</v>
      </c>
      <c r="S286" s="71">
        <v>45448.615277777797</v>
      </c>
      <c r="T286" s="72"/>
      <c r="U286" s="63">
        <v>45546.379861111098</v>
      </c>
      <c r="V286" s="64">
        <v>-8</v>
      </c>
    </row>
    <row r="287" spans="1:22" ht="11.25" x14ac:dyDescent="0.2">
      <c r="A287" s="65">
        <v>306328</v>
      </c>
      <c r="B287" s="65" t="s">
        <v>1051</v>
      </c>
      <c r="C287" s="66" t="s">
        <v>1052</v>
      </c>
      <c r="D287" s="66" t="s">
        <v>1053</v>
      </c>
      <c r="E287" s="67" t="s">
        <v>55</v>
      </c>
      <c r="F287" s="66" t="s">
        <v>56</v>
      </c>
      <c r="G287" s="67" t="s">
        <v>33</v>
      </c>
      <c r="H287" s="65" t="s">
        <v>34</v>
      </c>
      <c r="I287" s="67" t="s">
        <v>35</v>
      </c>
      <c r="J287" s="67" t="s">
        <v>66</v>
      </c>
      <c r="K287" s="67" t="s">
        <v>67</v>
      </c>
      <c r="L287" s="65" t="s">
        <v>36</v>
      </c>
      <c r="M287" s="68" t="s">
        <v>37</v>
      </c>
      <c r="N287" s="68" t="s">
        <v>76</v>
      </c>
      <c r="O287" s="68" t="s">
        <v>77</v>
      </c>
      <c r="P287" s="69">
        <v>45468.333333333299</v>
      </c>
      <c r="Q287" s="70"/>
      <c r="R287" s="70" t="s">
        <v>31</v>
      </c>
      <c r="S287" s="71">
        <v>45455.2902777778</v>
      </c>
      <c r="T287" s="72"/>
      <c r="U287" s="63">
        <v>45546.396527777797</v>
      </c>
      <c r="V287" s="64">
        <v>-8</v>
      </c>
    </row>
    <row r="288" spans="1:22" ht="11.25" x14ac:dyDescent="0.2">
      <c r="A288" s="65">
        <v>306330</v>
      </c>
      <c r="B288" s="65" t="s">
        <v>1054</v>
      </c>
      <c r="C288" s="66" t="s">
        <v>1055</v>
      </c>
      <c r="D288" s="66" t="s">
        <v>1056</v>
      </c>
      <c r="E288" s="67" t="s">
        <v>203</v>
      </c>
      <c r="F288" s="66" t="s">
        <v>204</v>
      </c>
      <c r="G288" s="67" t="s">
        <v>23</v>
      </c>
      <c r="H288" s="65" t="s">
        <v>22</v>
      </c>
      <c r="I288" s="67" t="s">
        <v>24</v>
      </c>
      <c r="J288" s="67" t="s">
        <v>66</v>
      </c>
      <c r="K288" s="67" t="s">
        <v>67</v>
      </c>
      <c r="L288" s="65" t="s">
        <v>36</v>
      </c>
      <c r="M288" s="68" t="s">
        <v>37</v>
      </c>
      <c r="N288" s="68" t="s">
        <v>51</v>
      </c>
      <c r="O288" s="68" t="s">
        <v>52</v>
      </c>
      <c r="P288" s="69">
        <v>45457.333333333299</v>
      </c>
      <c r="Q288" s="70"/>
      <c r="R288" s="70" t="s">
        <v>31</v>
      </c>
      <c r="S288" s="71">
        <v>45449.714583333298</v>
      </c>
      <c r="T288" s="72"/>
      <c r="U288" s="63">
        <v>45546.657638888901</v>
      </c>
      <c r="V288" s="64">
        <v>-8</v>
      </c>
    </row>
    <row r="289" spans="1:22" ht="11.25" x14ac:dyDescent="0.2">
      <c r="A289" s="65">
        <v>306332</v>
      </c>
      <c r="B289" s="65" t="s">
        <v>1057</v>
      </c>
      <c r="C289" s="66" t="s">
        <v>1058</v>
      </c>
      <c r="D289" s="66" t="s">
        <v>1058</v>
      </c>
      <c r="E289" s="67" t="s">
        <v>1059</v>
      </c>
      <c r="F289" s="66" t="s">
        <v>1060</v>
      </c>
      <c r="G289" s="67" t="s">
        <v>23</v>
      </c>
      <c r="H289" s="65" t="s">
        <v>22</v>
      </c>
      <c r="I289" s="67" t="s">
        <v>24</v>
      </c>
      <c r="J289" s="67" t="s">
        <v>649</v>
      </c>
      <c r="K289" s="67" t="s">
        <v>650</v>
      </c>
      <c r="L289" s="65" t="s">
        <v>36</v>
      </c>
      <c r="M289" s="68" t="s">
        <v>37</v>
      </c>
      <c r="N289" s="68" t="s">
        <v>51</v>
      </c>
      <c r="O289" s="68" t="s">
        <v>52</v>
      </c>
      <c r="P289" s="69">
        <v>45457.333333333299</v>
      </c>
      <c r="Q289" s="70"/>
      <c r="R289" s="70" t="s">
        <v>31</v>
      </c>
      <c r="S289" s="71">
        <v>45454.275694444397</v>
      </c>
      <c r="T289" s="72"/>
      <c r="U289" s="63">
        <v>45546.670138888898</v>
      </c>
      <c r="V289" s="64">
        <v>-8</v>
      </c>
    </row>
    <row r="290" spans="1:22" ht="11.25" x14ac:dyDescent="0.2">
      <c r="A290" s="65">
        <v>306335</v>
      </c>
      <c r="B290" s="65" t="s">
        <v>1061</v>
      </c>
      <c r="C290" s="66" t="s">
        <v>1062</v>
      </c>
      <c r="D290" s="66" t="s">
        <v>1062</v>
      </c>
      <c r="E290" s="67" t="s">
        <v>574</v>
      </c>
      <c r="F290" s="66" t="s">
        <v>575</v>
      </c>
      <c r="G290" s="67" t="s">
        <v>222</v>
      </c>
      <c r="H290" s="65" t="s">
        <v>81</v>
      </c>
      <c r="I290" s="67" t="s">
        <v>82</v>
      </c>
      <c r="J290" s="67" t="s">
        <v>1063</v>
      </c>
      <c r="K290" s="67" t="s">
        <v>992</v>
      </c>
      <c r="L290" s="65" t="s">
        <v>237</v>
      </c>
      <c r="M290" s="68" t="s">
        <v>238</v>
      </c>
      <c r="N290" s="68" t="s">
        <v>51</v>
      </c>
      <c r="O290" s="68" t="s">
        <v>52</v>
      </c>
      <c r="P290" s="69"/>
      <c r="Q290" s="70"/>
      <c r="R290" s="70" t="s">
        <v>47</v>
      </c>
      <c r="S290" s="71">
        <v>45456.512499999997</v>
      </c>
      <c r="T290" s="72"/>
      <c r="U290" s="63">
        <v>45607.510416666701</v>
      </c>
      <c r="V290" s="64">
        <v>-69</v>
      </c>
    </row>
    <row r="291" spans="1:22" ht="11.25" x14ac:dyDescent="0.2">
      <c r="A291" s="65">
        <v>306337</v>
      </c>
      <c r="B291" s="65" t="s">
        <v>1064</v>
      </c>
      <c r="C291" s="66" t="s">
        <v>1065</v>
      </c>
      <c r="D291" s="66" t="s">
        <v>1065</v>
      </c>
      <c r="E291" s="67" t="s">
        <v>105</v>
      </c>
      <c r="F291" s="66" t="s">
        <v>106</v>
      </c>
      <c r="G291" s="67" t="s">
        <v>23</v>
      </c>
      <c r="H291" s="65" t="s">
        <v>34</v>
      </c>
      <c r="I291" s="67" t="s">
        <v>35</v>
      </c>
      <c r="J291" s="67" t="s">
        <v>119</v>
      </c>
      <c r="K291" s="67" t="s">
        <v>120</v>
      </c>
      <c r="L291" s="65" t="s">
        <v>36</v>
      </c>
      <c r="M291" s="68" t="s">
        <v>37</v>
      </c>
      <c r="N291" s="68" t="s">
        <v>57</v>
      </c>
      <c r="O291" s="68" t="s">
        <v>58</v>
      </c>
      <c r="P291" s="69">
        <v>45462.333333333299</v>
      </c>
      <c r="Q291" s="70"/>
      <c r="R291" s="70" t="s">
        <v>31</v>
      </c>
      <c r="S291" s="71">
        <v>45373.620138888902</v>
      </c>
      <c r="T291" s="72" t="s">
        <v>109</v>
      </c>
      <c r="U291" s="63">
        <v>45463.620138888902</v>
      </c>
      <c r="V291" s="64">
        <v>75</v>
      </c>
    </row>
    <row r="292" spans="1:22" ht="11.25" x14ac:dyDescent="0.2">
      <c r="A292" s="65">
        <v>306341</v>
      </c>
      <c r="B292" s="65" t="s">
        <v>1066</v>
      </c>
      <c r="C292" s="66" t="s">
        <v>1067</v>
      </c>
      <c r="D292" s="66" t="s">
        <v>1067</v>
      </c>
      <c r="E292" s="67" t="s">
        <v>1068</v>
      </c>
      <c r="F292" s="66" t="s">
        <v>1069</v>
      </c>
      <c r="G292" s="67" t="s">
        <v>23</v>
      </c>
      <c r="H292" s="65" t="s">
        <v>49</v>
      </c>
      <c r="I292" s="67" t="s">
        <v>50</v>
      </c>
      <c r="J292" s="67" t="s">
        <v>306</v>
      </c>
      <c r="K292" s="67" t="s">
        <v>307</v>
      </c>
      <c r="L292" s="65" t="s">
        <v>36</v>
      </c>
      <c r="M292" s="68" t="s">
        <v>37</v>
      </c>
      <c r="N292" s="68" t="s">
        <v>29</v>
      </c>
      <c r="O292" s="68" t="s">
        <v>30</v>
      </c>
      <c r="P292" s="69"/>
      <c r="Q292" s="70"/>
      <c r="R292" s="70" t="s">
        <v>31</v>
      </c>
      <c r="S292" s="71">
        <v>45288.552777777797</v>
      </c>
      <c r="T292" s="72" t="s">
        <v>96</v>
      </c>
      <c r="U292" s="63">
        <v>45548.397916666698</v>
      </c>
      <c r="V292" s="64">
        <v>-10</v>
      </c>
    </row>
    <row r="293" spans="1:22" ht="11.25" x14ac:dyDescent="0.2">
      <c r="A293" s="65">
        <v>306342</v>
      </c>
      <c r="B293" s="65" t="s">
        <v>1070</v>
      </c>
      <c r="C293" s="66" t="s">
        <v>1071</v>
      </c>
      <c r="D293" s="66" t="s">
        <v>1071</v>
      </c>
      <c r="E293" s="67" t="s">
        <v>86</v>
      </c>
      <c r="F293" s="66" t="s">
        <v>87</v>
      </c>
      <c r="G293" s="67" t="s">
        <v>23</v>
      </c>
      <c r="H293" s="65" t="s">
        <v>179</v>
      </c>
      <c r="I293" s="67" t="s">
        <v>180</v>
      </c>
      <c r="J293" s="67" t="s">
        <v>649</v>
      </c>
      <c r="K293" s="67" t="s">
        <v>650</v>
      </c>
      <c r="L293" s="65" t="s">
        <v>36</v>
      </c>
      <c r="M293" s="68" t="s">
        <v>37</v>
      </c>
      <c r="N293" s="68" t="s">
        <v>90</v>
      </c>
      <c r="O293" s="68" t="s">
        <v>91</v>
      </c>
      <c r="P293" s="69"/>
      <c r="Q293" s="70"/>
      <c r="R293" s="70" t="s">
        <v>31</v>
      </c>
      <c r="S293" s="71">
        <v>45446.399305555598</v>
      </c>
      <c r="T293" s="72" t="s">
        <v>85</v>
      </c>
      <c r="U293" s="63">
        <v>45536.399305555598</v>
      </c>
      <c r="V293" s="64">
        <v>2</v>
      </c>
    </row>
    <row r="294" spans="1:22" ht="11.25" x14ac:dyDescent="0.2">
      <c r="A294" s="65">
        <v>306343</v>
      </c>
      <c r="B294" s="65" t="s">
        <v>1072</v>
      </c>
      <c r="C294" s="66" t="s">
        <v>1073</v>
      </c>
      <c r="D294" s="66" t="s">
        <v>1073</v>
      </c>
      <c r="E294" s="67" t="s">
        <v>86</v>
      </c>
      <c r="F294" s="66" t="s">
        <v>87</v>
      </c>
      <c r="G294" s="67" t="s">
        <v>23</v>
      </c>
      <c r="H294" s="65" t="s">
        <v>22</v>
      </c>
      <c r="I294" s="67" t="s">
        <v>24</v>
      </c>
      <c r="J294" s="67" t="s">
        <v>649</v>
      </c>
      <c r="K294" s="67" t="s">
        <v>650</v>
      </c>
      <c r="L294" s="65" t="s">
        <v>36</v>
      </c>
      <c r="M294" s="68" t="s">
        <v>37</v>
      </c>
      <c r="N294" s="68" t="s">
        <v>29</v>
      </c>
      <c r="O294" s="68" t="s">
        <v>30</v>
      </c>
      <c r="P294" s="69">
        <v>45462.338888888902</v>
      </c>
      <c r="Q294" s="70"/>
      <c r="R294" s="70" t="s">
        <v>31</v>
      </c>
      <c r="S294" s="71">
        <v>45434.372916666704</v>
      </c>
      <c r="T294" s="72" t="s">
        <v>85</v>
      </c>
      <c r="U294" s="63">
        <v>45548.397916666698</v>
      </c>
      <c r="V294" s="64">
        <v>-10</v>
      </c>
    </row>
    <row r="295" spans="1:22" ht="11.25" x14ac:dyDescent="0.2">
      <c r="A295" s="65">
        <v>306346</v>
      </c>
      <c r="B295" s="65" t="s">
        <v>1074</v>
      </c>
      <c r="C295" s="66" t="s">
        <v>1075</v>
      </c>
      <c r="D295" s="66" t="s">
        <v>1075</v>
      </c>
      <c r="E295" s="67" t="s">
        <v>659</v>
      </c>
      <c r="F295" s="66" t="s">
        <v>660</v>
      </c>
      <c r="G295" s="67" t="s">
        <v>23</v>
      </c>
      <c r="H295" s="65" t="s">
        <v>22</v>
      </c>
      <c r="I295" s="67" t="s">
        <v>24</v>
      </c>
      <c r="J295" s="67" t="s">
        <v>121</v>
      </c>
      <c r="K295" s="67" t="s">
        <v>122</v>
      </c>
      <c r="L295" s="65" t="s">
        <v>36</v>
      </c>
      <c r="M295" s="68" t="s">
        <v>37</v>
      </c>
      <c r="N295" s="68" t="s">
        <v>51</v>
      </c>
      <c r="O295" s="68" t="s">
        <v>52</v>
      </c>
      <c r="P295" s="69">
        <v>45460.333333333299</v>
      </c>
      <c r="Q295" s="70"/>
      <c r="R295" s="70" t="s">
        <v>31</v>
      </c>
      <c r="S295" s="71">
        <v>45453.7993055556</v>
      </c>
      <c r="T295" s="72" t="s">
        <v>85</v>
      </c>
      <c r="U295" s="63">
        <v>45548.397916666698</v>
      </c>
      <c r="V295" s="64">
        <v>-10</v>
      </c>
    </row>
    <row r="296" spans="1:22" ht="11.25" x14ac:dyDescent="0.2">
      <c r="A296" s="65">
        <v>306348</v>
      </c>
      <c r="B296" s="65" t="s">
        <v>1076</v>
      </c>
      <c r="C296" s="66" t="s">
        <v>1077</v>
      </c>
      <c r="D296" s="66" t="s">
        <v>1077</v>
      </c>
      <c r="E296" s="67" t="s">
        <v>223</v>
      </c>
      <c r="F296" s="66" t="s">
        <v>224</v>
      </c>
      <c r="G296" s="67" t="s">
        <v>23</v>
      </c>
      <c r="H296" s="65" t="s">
        <v>22</v>
      </c>
      <c r="I296" s="67" t="s">
        <v>24</v>
      </c>
      <c r="J296" s="67" t="s">
        <v>66</v>
      </c>
      <c r="K296" s="67" t="s">
        <v>67</v>
      </c>
      <c r="L296" s="65" t="s">
        <v>36</v>
      </c>
      <c r="M296" s="68" t="s">
        <v>37</v>
      </c>
      <c r="N296" s="68" t="s">
        <v>29</v>
      </c>
      <c r="O296" s="68" t="s">
        <v>30</v>
      </c>
      <c r="P296" s="69">
        <v>45460.333333333299</v>
      </c>
      <c r="Q296" s="70"/>
      <c r="R296" s="70" t="s">
        <v>31</v>
      </c>
      <c r="S296" s="71">
        <v>45453.874305555597</v>
      </c>
      <c r="T296" s="72" t="s">
        <v>135</v>
      </c>
      <c r="U296" s="63">
        <v>45548.397916666698</v>
      </c>
      <c r="V296" s="64">
        <v>-10</v>
      </c>
    </row>
    <row r="297" spans="1:22" ht="11.25" x14ac:dyDescent="0.2">
      <c r="A297" s="65">
        <v>306349</v>
      </c>
      <c r="B297" s="65" t="s">
        <v>1078</v>
      </c>
      <c r="C297" s="66" t="s">
        <v>1079</v>
      </c>
      <c r="D297" s="66" t="s">
        <v>1079</v>
      </c>
      <c r="E297" s="67" t="s">
        <v>659</v>
      </c>
      <c r="F297" s="66" t="s">
        <v>660</v>
      </c>
      <c r="G297" s="67" t="s">
        <v>23</v>
      </c>
      <c r="H297" s="65" t="s">
        <v>22</v>
      </c>
      <c r="I297" s="67" t="s">
        <v>24</v>
      </c>
      <c r="J297" s="67" t="s">
        <v>128</v>
      </c>
      <c r="K297" s="67" t="s">
        <v>129</v>
      </c>
      <c r="L297" s="65" t="s">
        <v>36</v>
      </c>
      <c r="M297" s="68" t="s">
        <v>37</v>
      </c>
      <c r="N297" s="68" t="s">
        <v>51</v>
      </c>
      <c r="O297" s="68" t="s">
        <v>52</v>
      </c>
      <c r="P297" s="69">
        <v>45460.333333333299</v>
      </c>
      <c r="Q297" s="70"/>
      <c r="R297" s="70" t="s">
        <v>47</v>
      </c>
      <c r="S297" s="71">
        <v>45453.8</v>
      </c>
      <c r="T297" s="72" t="s">
        <v>85</v>
      </c>
      <c r="U297" s="63">
        <v>45608.397916666698</v>
      </c>
      <c r="V297" s="64">
        <v>-70</v>
      </c>
    </row>
    <row r="298" spans="1:22" ht="11.25" x14ac:dyDescent="0.2">
      <c r="A298" s="65">
        <v>306350</v>
      </c>
      <c r="B298" s="65" t="s">
        <v>1080</v>
      </c>
      <c r="C298" s="66" t="s">
        <v>1081</v>
      </c>
      <c r="D298" s="66" t="s">
        <v>1081</v>
      </c>
      <c r="E298" s="67" t="s">
        <v>659</v>
      </c>
      <c r="F298" s="66" t="s">
        <v>660</v>
      </c>
      <c r="G298" s="67" t="s">
        <v>23</v>
      </c>
      <c r="H298" s="65" t="s">
        <v>22</v>
      </c>
      <c r="I298" s="67" t="s">
        <v>24</v>
      </c>
      <c r="J298" s="67" t="s">
        <v>128</v>
      </c>
      <c r="K298" s="67" t="s">
        <v>129</v>
      </c>
      <c r="L298" s="65" t="s">
        <v>36</v>
      </c>
      <c r="M298" s="68" t="s">
        <v>37</v>
      </c>
      <c r="N298" s="68" t="s">
        <v>51</v>
      </c>
      <c r="O298" s="68" t="s">
        <v>52</v>
      </c>
      <c r="P298" s="69">
        <v>45460.333333333299</v>
      </c>
      <c r="Q298" s="70"/>
      <c r="R298" s="70" t="s">
        <v>31</v>
      </c>
      <c r="S298" s="71">
        <v>45453.788888888899</v>
      </c>
      <c r="T298" s="72" t="s">
        <v>85</v>
      </c>
      <c r="U298" s="63">
        <v>45548.397916666698</v>
      </c>
      <c r="V298" s="64">
        <v>-10</v>
      </c>
    </row>
    <row r="299" spans="1:22" ht="11.25" x14ac:dyDescent="0.2">
      <c r="A299" s="65">
        <v>306351</v>
      </c>
      <c r="B299" s="65" t="s">
        <v>1082</v>
      </c>
      <c r="C299" s="66" t="s">
        <v>1083</v>
      </c>
      <c r="D299" s="66" t="s">
        <v>1083</v>
      </c>
      <c r="E299" s="67" t="s">
        <v>223</v>
      </c>
      <c r="F299" s="66" t="s">
        <v>224</v>
      </c>
      <c r="G299" s="67" t="s">
        <v>23</v>
      </c>
      <c r="H299" s="65" t="s">
        <v>22</v>
      </c>
      <c r="I299" s="67" t="s">
        <v>24</v>
      </c>
      <c r="J299" s="67" t="s">
        <v>649</v>
      </c>
      <c r="K299" s="67" t="s">
        <v>650</v>
      </c>
      <c r="L299" s="65" t="s">
        <v>36</v>
      </c>
      <c r="M299" s="68" t="s">
        <v>37</v>
      </c>
      <c r="N299" s="68" t="s">
        <v>90</v>
      </c>
      <c r="O299" s="68" t="s">
        <v>91</v>
      </c>
      <c r="P299" s="69">
        <v>45462.442361111098</v>
      </c>
      <c r="Q299" s="70"/>
      <c r="R299" s="70" t="s">
        <v>31</v>
      </c>
      <c r="S299" s="71">
        <v>45453.878472222197</v>
      </c>
      <c r="T299" s="72" t="s">
        <v>135</v>
      </c>
      <c r="U299" s="63">
        <v>45548.397916666698</v>
      </c>
      <c r="V299" s="64">
        <v>-10</v>
      </c>
    </row>
    <row r="300" spans="1:22" ht="11.25" x14ac:dyDescent="0.2">
      <c r="A300" s="65">
        <v>306352</v>
      </c>
      <c r="B300" s="65" t="s">
        <v>1084</v>
      </c>
      <c r="C300" s="66" t="s">
        <v>1085</v>
      </c>
      <c r="D300" s="66" t="s">
        <v>1085</v>
      </c>
      <c r="E300" s="67" t="s">
        <v>880</v>
      </c>
      <c r="F300" s="66" t="s">
        <v>881</v>
      </c>
      <c r="G300" s="67" t="s">
        <v>23</v>
      </c>
      <c r="H300" s="65" t="s">
        <v>179</v>
      </c>
      <c r="I300" s="67" t="s">
        <v>180</v>
      </c>
      <c r="J300" s="67" t="s">
        <v>649</v>
      </c>
      <c r="K300" s="67" t="s">
        <v>650</v>
      </c>
      <c r="L300" s="65" t="s">
        <v>36</v>
      </c>
      <c r="M300" s="68" t="s">
        <v>37</v>
      </c>
      <c r="N300" s="68" t="s">
        <v>51</v>
      </c>
      <c r="O300" s="68" t="s">
        <v>52</v>
      </c>
      <c r="P300" s="69"/>
      <c r="Q300" s="70"/>
      <c r="R300" s="70" t="s">
        <v>31</v>
      </c>
      <c r="S300" s="71">
        <v>45454.882638888899</v>
      </c>
      <c r="T300" s="72" t="s">
        <v>85</v>
      </c>
      <c r="U300" s="63">
        <v>45544.882638888899</v>
      </c>
      <c r="V300" s="64">
        <v>-6</v>
      </c>
    </row>
    <row r="301" spans="1:22" ht="11.25" x14ac:dyDescent="0.2">
      <c r="A301" s="65">
        <v>306353</v>
      </c>
      <c r="B301" s="65" t="s">
        <v>1086</v>
      </c>
      <c r="C301" s="66" t="s">
        <v>1087</v>
      </c>
      <c r="D301" s="66" t="s">
        <v>1087</v>
      </c>
      <c r="E301" s="67" t="s">
        <v>133</v>
      </c>
      <c r="F301" s="66" t="s">
        <v>134</v>
      </c>
      <c r="G301" s="67" t="s">
        <v>23</v>
      </c>
      <c r="H301" s="65" t="s">
        <v>22</v>
      </c>
      <c r="I301" s="67" t="s">
        <v>24</v>
      </c>
      <c r="J301" s="67" t="s">
        <v>649</v>
      </c>
      <c r="K301" s="67" t="s">
        <v>650</v>
      </c>
      <c r="L301" s="65" t="s">
        <v>36</v>
      </c>
      <c r="M301" s="68" t="s">
        <v>37</v>
      </c>
      <c r="N301" s="68" t="s">
        <v>29</v>
      </c>
      <c r="O301" s="68" t="s">
        <v>30</v>
      </c>
      <c r="P301" s="69">
        <v>45460.333333333299</v>
      </c>
      <c r="Q301" s="70"/>
      <c r="R301" s="70" t="s">
        <v>31</v>
      </c>
      <c r="S301" s="71">
        <v>45455.279166666704</v>
      </c>
      <c r="T301" s="72" t="s">
        <v>135</v>
      </c>
      <c r="U301" s="63">
        <v>45548.397916666698</v>
      </c>
      <c r="V301" s="64">
        <v>-10</v>
      </c>
    </row>
    <row r="302" spans="1:22" ht="11.25" x14ac:dyDescent="0.2">
      <c r="A302" s="65">
        <v>306355</v>
      </c>
      <c r="B302" s="65" t="s">
        <v>1088</v>
      </c>
      <c r="C302" s="66" t="s">
        <v>1089</v>
      </c>
      <c r="D302" s="66" t="s">
        <v>1089</v>
      </c>
      <c r="E302" s="67" t="s">
        <v>133</v>
      </c>
      <c r="F302" s="66" t="s">
        <v>134</v>
      </c>
      <c r="G302" s="67" t="s">
        <v>23</v>
      </c>
      <c r="H302" s="65" t="s">
        <v>34</v>
      </c>
      <c r="I302" s="67" t="s">
        <v>35</v>
      </c>
      <c r="J302" s="67" t="s">
        <v>649</v>
      </c>
      <c r="K302" s="67" t="s">
        <v>650</v>
      </c>
      <c r="L302" s="65" t="s">
        <v>36</v>
      </c>
      <c r="M302" s="68" t="s">
        <v>37</v>
      </c>
      <c r="N302" s="68" t="s">
        <v>83</v>
      </c>
      <c r="O302" s="68" t="s">
        <v>84</v>
      </c>
      <c r="P302" s="69">
        <v>45460.448611111096</v>
      </c>
      <c r="Q302" s="70"/>
      <c r="R302" s="70" t="s">
        <v>31</v>
      </c>
      <c r="S302" s="71">
        <v>45455.284027777801</v>
      </c>
      <c r="T302" s="72" t="s">
        <v>135</v>
      </c>
      <c r="U302" s="63">
        <v>45548.397916666698</v>
      </c>
      <c r="V302" s="64">
        <v>-10</v>
      </c>
    </row>
    <row r="303" spans="1:22" ht="11.25" x14ac:dyDescent="0.2">
      <c r="A303" s="65">
        <v>306356</v>
      </c>
      <c r="B303" s="65" t="s">
        <v>1090</v>
      </c>
      <c r="C303" s="66" t="s">
        <v>1091</v>
      </c>
      <c r="D303" s="66" t="s">
        <v>1091</v>
      </c>
      <c r="E303" s="67" t="s">
        <v>133</v>
      </c>
      <c r="F303" s="66" t="s">
        <v>134</v>
      </c>
      <c r="G303" s="67" t="s">
        <v>23</v>
      </c>
      <c r="H303" s="65" t="s">
        <v>22</v>
      </c>
      <c r="I303" s="67" t="s">
        <v>24</v>
      </c>
      <c r="J303" s="67" t="s">
        <v>649</v>
      </c>
      <c r="K303" s="67" t="s">
        <v>650</v>
      </c>
      <c r="L303" s="65" t="s">
        <v>36</v>
      </c>
      <c r="M303" s="68" t="s">
        <v>37</v>
      </c>
      <c r="N303" s="68" t="s">
        <v>51</v>
      </c>
      <c r="O303" s="68" t="s">
        <v>52</v>
      </c>
      <c r="P303" s="69">
        <v>45460.333333333299</v>
      </c>
      <c r="Q303" s="70"/>
      <c r="R303" s="70" t="s">
        <v>31</v>
      </c>
      <c r="S303" s="71">
        <v>45455.286111111098</v>
      </c>
      <c r="T303" s="72" t="s">
        <v>135</v>
      </c>
      <c r="U303" s="63">
        <v>45548.397916666698</v>
      </c>
      <c r="V303" s="64">
        <v>-10</v>
      </c>
    </row>
    <row r="304" spans="1:22" ht="11.25" x14ac:dyDescent="0.2">
      <c r="A304" s="65">
        <v>306357</v>
      </c>
      <c r="B304" s="65" t="s">
        <v>1092</v>
      </c>
      <c r="C304" s="66" t="s">
        <v>1093</v>
      </c>
      <c r="D304" s="66" t="s">
        <v>1093</v>
      </c>
      <c r="E304" s="67" t="s">
        <v>133</v>
      </c>
      <c r="F304" s="66" t="s">
        <v>134</v>
      </c>
      <c r="G304" s="67" t="s">
        <v>23</v>
      </c>
      <c r="H304" s="65" t="s">
        <v>34</v>
      </c>
      <c r="I304" s="67" t="s">
        <v>35</v>
      </c>
      <c r="J304" s="67" t="s">
        <v>469</v>
      </c>
      <c r="K304" s="67" t="s">
        <v>470</v>
      </c>
      <c r="L304" s="65" t="s">
        <v>36</v>
      </c>
      <c r="M304" s="68" t="s">
        <v>37</v>
      </c>
      <c r="N304" s="68" t="s">
        <v>51</v>
      </c>
      <c r="O304" s="68" t="s">
        <v>52</v>
      </c>
      <c r="P304" s="69">
        <v>45460.357638888898</v>
      </c>
      <c r="Q304" s="70"/>
      <c r="R304" s="70" t="s">
        <v>40</v>
      </c>
      <c r="S304" s="71">
        <v>45455.282638888901</v>
      </c>
      <c r="T304" s="72" t="s">
        <v>135</v>
      </c>
      <c r="U304" s="63">
        <v>45458.397916666698</v>
      </c>
      <c r="V304" s="64">
        <v>80</v>
      </c>
    </row>
    <row r="305" spans="1:22" ht="11.25" x14ac:dyDescent="0.2">
      <c r="A305" s="65">
        <v>306361</v>
      </c>
      <c r="B305" s="65" t="s">
        <v>1094</v>
      </c>
      <c r="C305" s="66" t="s">
        <v>1095</v>
      </c>
      <c r="D305" s="66" t="s">
        <v>1136</v>
      </c>
      <c r="E305" s="67" t="s">
        <v>396</v>
      </c>
      <c r="F305" s="66" t="s">
        <v>397</v>
      </c>
      <c r="G305" s="67" t="s">
        <v>23</v>
      </c>
      <c r="H305" s="65" t="s">
        <v>81</v>
      </c>
      <c r="I305" s="67" t="s">
        <v>82</v>
      </c>
      <c r="J305" s="67" t="s">
        <v>649</v>
      </c>
      <c r="K305" s="67" t="s">
        <v>650</v>
      </c>
      <c r="L305" s="65" t="s">
        <v>36</v>
      </c>
      <c r="M305" s="68" t="s">
        <v>37</v>
      </c>
      <c r="N305" s="68" t="s">
        <v>57</v>
      </c>
      <c r="O305" s="68" t="s">
        <v>58</v>
      </c>
      <c r="P305" s="69">
        <v>45460.519444444399</v>
      </c>
      <c r="Q305" s="70"/>
      <c r="R305" s="70" t="s">
        <v>31</v>
      </c>
      <c r="S305" s="71">
        <v>45455.340972222199</v>
      </c>
      <c r="T305" s="72" t="s">
        <v>398</v>
      </c>
      <c r="U305" s="63">
        <v>45548.397916666698</v>
      </c>
      <c r="V305" s="64">
        <v>-10</v>
      </c>
    </row>
    <row r="306" spans="1:22" ht="11.25" x14ac:dyDescent="0.2">
      <c r="A306" s="65">
        <v>306362</v>
      </c>
      <c r="B306" s="65" t="s">
        <v>1096</v>
      </c>
      <c r="C306" s="66" t="s">
        <v>1097</v>
      </c>
      <c r="D306" s="66" t="s">
        <v>1097</v>
      </c>
      <c r="E306" s="67" t="s">
        <v>659</v>
      </c>
      <c r="F306" s="66" t="s">
        <v>660</v>
      </c>
      <c r="G306" s="67" t="s">
        <v>23</v>
      </c>
      <c r="H306" s="65" t="s">
        <v>22</v>
      </c>
      <c r="I306" s="67" t="s">
        <v>24</v>
      </c>
      <c r="J306" s="67" t="s">
        <v>649</v>
      </c>
      <c r="K306" s="67" t="s">
        <v>650</v>
      </c>
      <c r="L306" s="65" t="s">
        <v>36</v>
      </c>
      <c r="M306" s="68" t="s">
        <v>37</v>
      </c>
      <c r="N306" s="68" t="s">
        <v>51</v>
      </c>
      <c r="O306" s="68" t="s">
        <v>52</v>
      </c>
      <c r="P306" s="69">
        <v>45461.441666666702</v>
      </c>
      <c r="Q306" s="70"/>
      <c r="R306" s="70" t="s">
        <v>31</v>
      </c>
      <c r="S306" s="71">
        <v>45453.795833333301</v>
      </c>
      <c r="T306" s="72" t="s">
        <v>85</v>
      </c>
      <c r="U306" s="63">
        <v>45548.397916666698</v>
      </c>
      <c r="V306" s="64">
        <v>-10</v>
      </c>
    </row>
    <row r="307" spans="1:22" ht="11.25" x14ac:dyDescent="0.2">
      <c r="A307" s="65">
        <v>306363</v>
      </c>
      <c r="B307" s="65" t="s">
        <v>1098</v>
      </c>
      <c r="C307" s="66" t="s">
        <v>1099</v>
      </c>
      <c r="D307" s="66" t="s">
        <v>1099</v>
      </c>
      <c r="E307" s="67" t="s">
        <v>223</v>
      </c>
      <c r="F307" s="66" t="s">
        <v>224</v>
      </c>
      <c r="G307" s="67" t="s">
        <v>23</v>
      </c>
      <c r="H307" s="65" t="s">
        <v>22</v>
      </c>
      <c r="I307" s="67" t="s">
        <v>24</v>
      </c>
      <c r="J307" s="67" t="s">
        <v>226</v>
      </c>
      <c r="K307" s="67" t="s">
        <v>227</v>
      </c>
      <c r="L307" s="65" t="s">
        <v>36</v>
      </c>
      <c r="M307" s="68" t="s">
        <v>37</v>
      </c>
      <c r="N307" s="68" t="s">
        <v>57</v>
      </c>
      <c r="O307" s="68" t="s">
        <v>58</v>
      </c>
      <c r="P307" s="69">
        <v>45460.452777777798</v>
      </c>
      <c r="Q307" s="70"/>
      <c r="R307" s="70" t="s">
        <v>40</v>
      </c>
      <c r="S307" s="71">
        <v>45453.866666666698</v>
      </c>
      <c r="T307" s="72" t="s">
        <v>135</v>
      </c>
      <c r="U307" s="63">
        <v>45458.397916666698</v>
      </c>
      <c r="V307" s="64">
        <v>80</v>
      </c>
    </row>
    <row r="308" spans="1:22" ht="11.25" x14ac:dyDescent="0.2">
      <c r="A308" s="65">
        <v>306364</v>
      </c>
      <c r="B308" s="65" t="s">
        <v>1100</v>
      </c>
      <c r="C308" s="66" t="s">
        <v>1101</v>
      </c>
      <c r="D308" s="66" t="s">
        <v>1101</v>
      </c>
      <c r="E308" s="67" t="s">
        <v>141</v>
      </c>
      <c r="F308" s="66" t="s">
        <v>142</v>
      </c>
      <c r="G308" s="67" t="s">
        <v>23</v>
      </c>
      <c r="H308" s="65" t="s">
        <v>22</v>
      </c>
      <c r="I308" s="67" t="s">
        <v>24</v>
      </c>
      <c r="J308" s="67" t="s">
        <v>226</v>
      </c>
      <c r="K308" s="67" t="s">
        <v>227</v>
      </c>
      <c r="L308" s="65" t="s">
        <v>36</v>
      </c>
      <c r="M308" s="68" t="s">
        <v>37</v>
      </c>
      <c r="N308" s="68" t="s">
        <v>29</v>
      </c>
      <c r="O308" s="68" t="s">
        <v>30</v>
      </c>
      <c r="P308" s="69">
        <v>45460.333333333299</v>
      </c>
      <c r="Q308" s="70"/>
      <c r="R308" s="70" t="s">
        <v>31</v>
      </c>
      <c r="S308" s="71">
        <v>45455.843055555597</v>
      </c>
      <c r="T308" s="72" t="s">
        <v>85</v>
      </c>
      <c r="U308" s="63">
        <v>45548.397916666698</v>
      </c>
      <c r="V308" s="64">
        <v>-10</v>
      </c>
    </row>
    <row r="309" spans="1:22" ht="11.25" x14ac:dyDescent="0.2">
      <c r="A309" s="65">
        <v>306365</v>
      </c>
      <c r="B309" s="65" t="s">
        <v>1102</v>
      </c>
      <c r="C309" s="66" t="s">
        <v>1103</v>
      </c>
      <c r="D309" s="66" t="s">
        <v>1103</v>
      </c>
      <c r="E309" s="67" t="s">
        <v>141</v>
      </c>
      <c r="F309" s="66" t="s">
        <v>142</v>
      </c>
      <c r="G309" s="67" t="s">
        <v>23</v>
      </c>
      <c r="H309" s="65" t="s">
        <v>22</v>
      </c>
      <c r="I309" s="67" t="s">
        <v>24</v>
      </c>
      <c r="J309" s="67" t="s">
        <v>226</v>
      </c>
      <c r="K309" s="67" t="s">
        <v>227</v>
      </c>
      <c r="L309" s="65" t="s">
        <v>36</v>
      </c>
      <c r="M309" s="68" t="s">
        <v>37</v>
      </c>
      <c r="N309" s="68" t="s">
        <v>29</v>
      </c>
      <c r="O309" s="68" t="s">
        <v>30</v>
      </c>
      <c r="P309" s="69">
        <v>45460.447222222203</v>
      </c>
      <c r="Q309" s="70"/>
      <c r="R309" s="70" t="s">
        <v>40</v>
      </c>
      <c r="S309" s="71">
        <v>45455.840277777803</v>
      </c>
      <c r="T309" s="72" t="s">
        <v>85</v>
      </c>
      <c r="U309" s="63">
        <v>45458.397916666698</v>
      </c>
      <c r="V309" s="64">
        <v>80</v>
      </c>
    </row>
    <row r="310" spans="1:22" ht="11.25" x14ac:dyDescent="0.2">
      <c r="A310" s="65">
        <v>306367</v>
      </c>
      <c r="B310" s="65" t="s">
        <v>1104</v>
      </c>
      <c r="C310" s="66" t="s">
        <v>1105</v>
      </c>
      <c r="D310" s="66" t="s">
        <v>1105</v>
      </c>
      <c r="E310" s="67" t="s">
        <v>659</v>
      </c>
      <c r="F310" s="66" t="s">
        <v>660</v>
      </c>
      <c r="G310" s="67" t="s">
        <v>23</v>
      </c>
      <c r="H310" s="65" t="s">
        <v>22</v>
      </c>
      <c r="I310" s="67" t="s">
        <v>24</v>
      </c>
      <c r="J310" s="67" t="s">
        <v>226</v>
      </c>
      <c r="K310" s="67" t="s">
        <v>227</v>
      </c>
      <c r="L310" s="65" t="s">
        <v>36</v>
      </c>
      <c r="M310" s="68" t="s">
        <v>37</v>
      </c>
      <c r="N310" s="68" t="s">
        <v>83</v>
      </c>
      <c r="O310" s="68" t="s">
        <v>84</v>
      </c>
      <c r="P310" s="69">
        <v>45460.333333333299</v>
      </c>
      <c r="Q310" s="70"/>
      <c r="R310" s="70" t="s">
        <v>40</v>
      </c>
      <c r="S310" s="71">
        <v>45453.787499999999</v>
      </c>
      <c r="T310" s="72" t="s">
        <v>85</v>
      </c>
      <c r="U310" s="63">
        <v>45458.397916666698</v>
      </c>
      <c r="V310" s="64">
        <v>80</v>
      </c>
    </row>
    <row r="311" spans="1:22" ht="11.25" x14ac:dyDescent="0.2">
      <c r="A311" s="65">
        <v>306369</v>
      </c>
      <c r="B311" s="65" t="s">
        <v>1106</v>
      </c>
      <c r="C311" s="66" t="s">
        <v>1107</v>
      </c>
      <c r="D311" s="66" t="s">
        <v>1107</v>
      </c>
      <c r="E311" s="67" t="s">
        <v>92</v>
      </c>
      <c r="F311" s="66" t="s">
        <v>93</v>
      </c>
      <c r="G311" s="67" t="s">
        <v>23</v>
      </c>
      <c r="H311" s="65" t="s">
        <v>34</v>
      </c>
      <c r="I311" s="67" t="s">
        <v>35</v>
      </c>
      <c r="J311" s="67" t="s">
        <v>649</v>
      </c>
      <c r="K311" s="67" t="s">
        <v>650</v>
      </c>
      <c r="L311" s="65" t="s">
        <v>36</v>
      </c>
      <c r="M311" s="68" t="s">
        <v>37</v>
      </c>
      <c r="N311" s="68" t="s">
        <v>29</v>
      </c>
      <c r="O311" s="68" t="s">
        <v>30</v>
      </c>
      <c r="P311" s="69">
        <v>45461.404861111099</v>
      </c>
      <c r="Q311" s="70"/>
      <c r="R311" s="70" t="s">
        <v>31</v>
      </c>
      <c r="S311" s="71">
        <v>45384.572916666701</v>
      </c>
      <c r="T311" s="72" t="s">
        <v>96</v>
      </c>
      <c r="U311" s="63">
        <v>45548.397916666698</v>
      </c>
      <c r="V311" s="64">
        <v>-10</v>
      </c>
    </row>
    <row r="312" spans="1:22" ht="11.25" x14ac:dyDescent="0.2">
      <c r="A312" s="65">
        <v>306371</v>
      </c>
      <c r="B312" s="65" t="s">
        <v>1108</v>
      </c>
      <c r="C312" s="66" t="s">
        <v>1109</v>
      </c>
      <c r="D312" s="66" t="s">
        <v>1109</v>
      </c>
      <c r="E312" s="67" t="s">
        <v>659</v>
      </c>
      <c r="F312" s="66" t="s">
        <v>660</v>
      </c>
      <c r="G312" s="67" t="s">
        <v>23</v>
      </c>
      <c r="H312" s="65" t="s">
        <v>22</v>
      </c>
      <c r="I312" s="67" t="s">
        <v>24</v>
      </c>
      <c r="J312" s="67" t="s">
        <v>226</v>
      </c>
      <c r="K312" s="67" t="s">
        <v>227</v>
      </c>
      <c r="L312" s="65" t="s">
        <v>36</v>
      </c>
      <c r="M312" s="68" t="s">
        <v>37</v>
      </c>
      <c r="N312" s="68" t="s">
        <v>29</v>
      </c>
      <c r="O312" s="68" t="s">
        <v>30</v>
      </c>
      <c r="P312" s="69">
        <v>45491.377777777801</v>
      </c>
      <c r="Q312" s="70"/>
      <c r="R312" s="70" t="s">
        <v>31</v>
      </c>
      <c r="S312" s="71">
        <v>45367.757638888899</v>
      </c>
      <c r="T312" s="72" t="s">
        <v>85</v>
      </c>
      <c r="U312" s="63">
        <v>45548.397916666698</v>
      </c>
      <c r="V312" s="64">
        <v>-10</v>
      </c>
    </row>
    <row r="313" spans="1:22" ht="11.25" x14ac:dyDescent="0.2">
      <c r="A313" s="65">
        <v>306372</v>
      </c>
      <c r="B313" s="65" t="s">
        <v>1110</v>
      </c>
      <c r="C313" s="66" t="s">
        <v>1111</v>
      </c>
      <c r="D313" s="66" t="s">
        <v>1111</v>
      </c>
      <c r="E313" s="67" t="s">
        <v>133</v>
      </c>
      <c r="F313" s="66" t="s">
        <v>134</v>
      </c>
      <c r="G313" s="67" t="s">
        <v>23</v>
      </c>
      <c r="H313" s="65" t="s">
        <v>22</v>
      </c>
      <c r="I313" s="67" t="s">
        <v>24</v>
      </c>
      <c r="J313" s="67" t="s">
        <v>1112</v>
      </c>
      <c r="K313" s="67" t="s">
        <v>1113</v>
      </c>
      <c r="L313" s="65" t="s">
        <v>36</v>
      </c>
      <c r="M313" s="68" t="s">
        <v>37</v>
      </c>
      <c r="N313" s="68" t="s">
        <v>29</v>
      </c>
      <c r="O313" s="68" t="s">
        <v>30</v>
      </c>
      <c r="P313" s="69">
        <v>45461.405555555597</v>
      </c>
      <c r="Q313" s="70"/>
      <c r="R313" s="70" t="s">
        <v>31</v>
      </c>
      <c r="S313" s="71">
        <v>45342.448611111096</v>
      </c>
      <c r="T313" s="72" t="s">
        <v>135</v>
      </c>
      <c r="U313" s="63">
        <v>45548.397916666698</v>
      </c>
      <c r="V313" s="64">
        <v>-10</v>
      </c>
    </row>
    <row r="314" spans="1:22" ht="11.25" x14ac:dyDescent="0.2">
      <c r="A314" s="65">
        <v>306373</v>
      </c>
      <c r="B314" s="65" t="s">
        <v>1114</v>
      </c>
      <c r="C314" s="66" t="s">
        <v>1115</v>
      </c>
      <c r="D314" s="66" t="s">
        <v>1115</v>
      </c>
      <c r="E314" s="67" t="s">
        <v>133</v>
      </c>
      <c r="F314" s="66" t="s">
        <v>134</v>
      </c>
      <c r="G314" s="67" t="s">
        <v>23</v>
      </c>
      <c r="H314" s="65" t="s">
        <v>22</v>
      </c>
      <c r="I314" s="67" t="s">
        <v>24</v>
      </c>
      <c r="J314" s="67" t="s">
        <v>649</v>
      </c>
      <c r="K314" s="67" t="s">
        <v>650</v>
      </c>
      <c r="L314" s="65" t="s">
        <v>36</v>
      </c>
      <c r="M314" s="68" t="s">
        <v>37</v>
      </c>
      <c r="N314" s="68" t="s">
        <v>29</v>
      </c>
      <c r="O314" s="68" t="s">
        <v>30</v>
      </c>
      <c r="P314" s="69">
        <v>45461.405555555597</v>
      </c>
      <c r="Q314" s="70"/>
      <c r="R314" s="70" t="s">
        <v>31</v>
      </c>
      <c r="S314" s="71">
        <v>45342.452083333301</v>
      </c>
      <c r="T314" s="72" t="s">
        <v>135</v>
      </c>
      <c r="U314" s="63">
        <v>45548.397916666698</v>
      </c>
      <c r="V314" s="64">
        <v>-10</v>
      </c>
    </row>
    <row r="315" spans="1:22" ht="11.25" x14ac:dyDescent="0.2">
      <c r="A315" s="65">
        <v>306374</v>
      </c>
      <c r="B315" s="65" t="s">
        <v>1116</v>
      </c>
      <c r="C315" s="66" t="s">
        <v>1117</v>
      </c>
      <c r="D315" s="66" t="s">
        <v>1117</v>
      </c>
      <c r="E315" s="67" t="s">
        <v>133</v>
      </c>
      <c r="F315" s="66" t="s">
        <v>134</v>
      </c>
      <c r="G315" s="67" t="s">
        <v>23</v>
      </c>
      <c r="H315" s="65" t="s">
        <v>34</v>
      </c>
      <c r="I315" s="67" t="s">
        <v>35</v>
      </c>
      <c r="J315" s="67" t="s">
        <v>469</v>
      </c>
      <c r="K315" s="67" t="s">
        <v>470</v>
      </c>
      <c r="L315" s="65" t="s">
        <v>36</v>
      </c>
      <c r="M315" s="68" t="s">
        <v>37</v>
      </c>
      <c r="N315" s="68" t="s">
        <v>29</v>
      </c>
      <c r="O315" s="68" t="s">
        <v>30</v>
      </c>
      <c r="P315" s="69">
        <v>45468.333333333299</v>
      </c>
      <c r="Q315" s="70"/>
      <c r="R315" s="70" t="s">
        <v>31</v>
      </c>
      <c r="S315" s="71">
        <v>45342.454166666699</v>
      </c>
      <c r="T315" s="72" t="s">
        <v>135</v>
      </c>
      <c r="U315" s="63">
        <v>45548.397916666698</v>
      </c>
      <c r="V315" s="64">
        <v>-10</v>
      </c>
    </row>
    <row r="316" spans="1:22" ht="11.25" x14ac:dyDescent="0.2">
      <c r="A316" s="65">
        <v>306375</v>
      </c>
      <c r="B316" s="65" t="s">
        <v>1118</v>
      </c>
      <c r="C316" s="66" t="s">
        <v>1119</v>
      </c>
      <c r="D316" s="66" t="s">
        <v>1119</v>
      </c>
      <c r="E316" s="67" t="s">
        <v>133</v>
      </c>
      <c r="F316" s="66" t="s">
        <v>134</v>
      </c>
      <c r="G316" s="67" t="s">
        <v>23</v>
      </c>
      <c r="H316" s="65" t="s">
        <v>34</v>
      </c>
      <c r="I316" s="67" t="s">
        <v>35</v>
      </c>
      <c r="J316" s="67" t="s">
        <v>507</v>
      </c>
      <c r="K316" s="67" t="s">
        <v>508</v>
      </c>
      <c r="L316" s="65" t="s">
        <v>36</v>
      </c>
      <c r="M316" s="68" t="s">
        <v>37</v>
      </c>
      <c r="N316" s="68" t="s">
        <v>29</v>
      </c>
      <c r="O316" s="68" t="s">
        <v>30</v>
      </c>
      <c r="P316" s="69">
        <v>45468.333333333299</v>
      </c>
      <c r="Q316" s="70"/>
      <c r="R316" s="70" t="s">
        <v>31</v>
      </c>
      <c r="S316" s="71">
        <v>45342.4555555556</v>
      </c>
      <c r="T316" s="72" t="s">
        <v>135</v>
      </c>
      <c r="U316" s="63">
        <v>45548.397916666698</v>
      </c>
      <c r="V316" s="64">
        <v>-10</v>
      </c>
    </row>
    <row r="317" spans="1:22" ht="11.25" x14ac:dyDescent="0.2">
      <c r="A317" s="65">
        <v>306376</v>
      </c>
      <c r="B317" s="65" t="s">
        <v>1120</v>
      </c>
      <c r="C317" s="66" t="s">
        <v>1121</v>
      </c>
      <c r="D317" s="66" t="s">
        <v>1121</v>
      </c>
      <c r="E317" s="67" t="s">
        <v>133</v>
      </c>
      <c r="F317" s="66" t="s">
        <v>134</v>
      </c>
      <c r="G317" s="67" t="s">
        <v>23</v>
      </c>
      <c r="H317" s="65" t="s">
        <v>22</v>
      </c>
      <c r="I317" s="67" t="s">
        <v>24</v>
      </c>
      <c r="J317" s="67" t="s">
        <v>121</v>
      </c>
      <c r="K317" s="67" t="s">
        <v>122</v>
      </c>
      <c r="L317" s="65" t="s">
        <v>36</v>
      </c>
      <c r="M317" s="68" t="s">
        <v>37</v>
      </c>
      <c r="N317" s="68" t="s">
        <v>29</v>
      </c>
      <c r="O317" s="68" t="s">
        <v>30</v>
      </c>
      <c r="P317" s="69">
        <v>45462.338194444397</v>
      </c>
      <c r="Q317" s="70"/>
      <c r="R317" s="70" t="s">
        <v>31</v>
      </c>
      <c r="S317" s="71">
        <v>45342.461111111101</v>
      </c>
      <c r="T317" s="72" t="s">
        <v>135</v>
      </c>
      <c r="U317" s="63">
        <v>45548.397916666698</v>
      </c>
      <c r="V317" s="64">
        <v>-10</v>
      </c>
    </row>
    <row r="318" spans="1:22" ht="11.25" x14ac:dyDescent="0.2">
      <c r="A318" s="65">
        <v>306377</v>
      </c>
      <c r="B318" s="65" t="s">
        <v>1122</v>
      </c>
      <c r="C318" s="66" t="s">
        <v>1123</v>
      </c>
      <c r="D318" s="66" t="s">
        <v>1123</v>
      </c>
      <c r="E318" s="67" t="s">
        <v>183</v>
      </c>
      <c r="F318" s="66" t="s">
        <v>184</v>
      </c>
      <c r="G318" s="67" t="s">
        <v>23</v>
      </c>
      <c r="H318" s="65" t="s">
        <v>179</v>
      </c>
      <c r="I318" s="67" t="s">
        <v>180</v>
      </c>
      <c r="J318" s="67" t="s">
        <v>649</v>
      </c>
      <c r="K318" s="67" t="s">
        <v>650</v>
      </c>
      <c r="L318" s="65" t="s">
        <v>36</v>
      </c>
      <c r="M318" s="68" t="s">
        <v>37</v>
      </c>
      <c r="N318" s="68" t="s">
        <v>201</v>
      </c>
      <c r="O318" s="68" t="s">
        <v>202</v>
      </c>
      <c r="P318" s="69"/>
      <c r="Q318" s="70"/>
      <c r="R318" s="70" t="s">
        <v>31</v>
      </c>
      <c r="S318" s="71">
        <v>45454.542361111096</v>
      </c>
      <c r="T318" s="72" t="s">
        <v>161</v>
      </c>
      <c r="U318" s="63">
        <v>45544.542361111096</v>
      </c>
      <c r="V318" s="64">
        <v>-6</v>
      </c>
    </row>
    <row r="319" spans="1:22" ht="11.25" x14ac:dyDescent="0.2">
      <c r="A319" s="65">
        <v>306379</v>
      </c>
      <c r="B319" s="65" t="s">
        <v>1124</v>
      </c>
      <c r="C319" s="66" t="s">
        <v>1125</v>
      </c>
      <c r="D319" s="66" t="s">
        <v>1125</v>
      </c>
      <c r="E319" s="67" t="s">
        <v>1126</v>
      </c>
      <c r="F319" s="66" t="s">
        <v>1127</v>
      </c>
      <c r="G319" s="67" t="s">
        <v>23</v>
      </c>
      <c r="H319" s="65" t="s">
        <v>179</v>
      </c>
      <c r="I319" s="67" t="s">
        <v>180</v>
      </c>
      <c r="J319" s="67" t="s">
        <v>531</v>
      </c>
      <c r="K319" s="67" t="s">
        <v>532</v>
      </c>
      <c r="L319" s="65" t="s">
        <v>36</v>
      </c>
      <c r="M319" s="68" t="s">
        <v>37</v>
      </c>
      <c r="N319" s="68" t="s">
        <v>83</v>
      </c>
      <c r="O319" s="68" t="s">
        <v>84</v>
      </c>
      <c r="P319" s="69"/>
      <c r="Q319" s="70"/>
      <c r="R319" s="70" t="s">
        <v>31</v>
      </c>
      <c r="S319" s="71">
        <v>45434.875</v>
      </c>
      <c r="T319" s="72" t="s">
        <v>85</v>
      </c>
      <c r="U319" s="63">
        <v>45524.875</v>
      </c>
      <c r="V319" s="64">
        <v>14</v>
      </c>
    </row>
    <row r="320" spans="1:22" ht="11.25" x14ac:dyDescent="0.2">
      <c r="A320" s="65">
        <v>306380</v>
      </c>
      <c r="B320" s="65" t="s">
        <v>1128</v>
      </c>
      <c r="C320" s="66" t="s">
        <v>1129</v>
      </c>
      <c r="D320" s="66" t="s">
        <v>1129</v>
      </c>
      <c r="E320" s="67" t="s">
        <v>1130</v>
      </c>
      <c r="F320" s="66" t="s">
        <v>1131</v>
      </c>
      <c r="G320" s="67" t="s">
        <v>33</v>
      </c>
      <c r="H320" s="65" t="s">
        <v>81</v>
      </c>
      <c r="I320" s="67" t="s">
        <v>82</v>
      </c>
      <c r="J320" s="67" t="s">
        <v>66</v>
      </c>
      <c r="K320" s="67" t="s">
        <v>67</v>
      </c>
      <c r="L320" s="65" t="s">
        <v>36</v>
      </c>
      <c r="M320" s="68" t="s">
        <v>37</v>
      </c>
      <c r="N320" s="68" t="s">
        <v>57</v>
      </c>
      <c r="O320" s="68" t="s">
        <v>58</v>
      </c>
      <c r="P320" s="69">
        <v>45474.368750000001</v>
      </c>
      <c r="Q320" s="70"/>
      <c r="R320" s="70" t="s">
        <v>31</v>
      </c>
      <c r="S320" s="71">
        <v>45411.291666666701</v>
      </c>
      <c r="T320" s="72" t="s">
        <v>240</v>
      </c>
      <c r="U320" s="63">
        <v>45548.397916666698</v>
      </c>
      <c r="V320" s="64">
        <v>-10</v>
      </c>
    </row>
    <row r="321" spans="1:22" ht="11.25" x14ac:dyDescent="0.2">
      <c r="A321" s="65">
        <v>306382</v>
      </c>
      <c r="B321" s="65" t="s">
        <v>1132</v>
      </c>
      <c r="C321" s="66" t="s">
        <v>1427</v>
      </c>
      <c r="D321" s="66" t="s">
        <v>1427</v>
      </c>
      <c r="E321" s="67" t="s">
        <v>480</v>
      </c>
      <c r="F321" s="66" t="s">
        <v>481</v>
      </c>
      <c r="G321" s="67" t="s">
        <v>33</v>
      </c>
      <c r="H321" s="65" t="s">
        <v>49</v>
      </c>
      <c r="I321" s="67" t="s">
        <v>50</v>
      </c>
      <c r="J321" s="67" t="s">
        <v>66</v>
      </c>
      <c r="K321" s="67" t="s">
        <v>67</v>
      </c>
      <c r="L321" s="65" t="s">
        <v>36</v>
      </c>
      <c r="M321" s="68" t="s">
        <v>37</v>
      </c>
      <c r="N321" s="68" t="s">
        <v>57</v>
      </c>
      <c r="O321" s="68" t="s">
        <v>58</v>
      </c>
      <c r="P321" s="69">
        <v>45496.581250000003</v>
      </c>
      <c r="Q321" s="70"/>
      <c r="R321" s="70" t="s">
        <v>31</v>
      </c>
      <c r="S321" s="71">
        <v>45280.2631944444</v>
      </c>
      <c r="T321" s="72" t="s">
        <v>125</v>
      </c>
      <c r="U321" s="63">
        <v>45548.397916666698</v>
      </c>
      <c r="V321" s="64">
        <v>-10</v>
      </c>
    </row>
    <row r="322" spans="1:22" ht="11.25" x14ac:dyDescent="0.2">
      <c r="A322" s="65">
        <v>306391</v>
      </c>
      <c r="B322" s="65" t="s">
        <v>1137</v>
      </c>
      <c r="C322" s="66" t="s">
        <v>1428</v>
      </c>
      <c r="D322" s="66" t="s">
        <v>1429</v>
      </c>
      <c r="E322" s="67" t="s">
        <v>673</v>
      </c>
      <c r="F322" s="66" t="s">
        <v>674</v>
      </c>
      <c r="G322" s="67" t="s">
        <v>23</v>
      </c>
      <c r="H322" s="65" t="s">
        <v>34</v>
      </c>
      <c r="I322" s="67" t="s">
        <v>35</v>
      </c>
      <c r="J322" s="67" t="s">
        <v>226</v>
      </c>
      <c r="K322" s="67" t="s">
        <v>227</v>
      </c>
      <c r="L322" s="65" t="s">
        <v>36</v>
      </c>
      <c r="M322" s="68" t="s">
        <v>37</v>
      </c>
      <c r="N322" s="68" t="s">
        <v>57</v>
      </c>
      <c r="O322" s="68" t="s">
        <v>58</v>
      </c>
      <c r="P322" s="69">
        <v>45503.375694444403</v>
      </c>
      <c r="Q322" s="70"/>
      <c r="R322" s="70" t="s">
        <v>31</v>
      </c>
      <c r="S322" s="71">
        <v>45460.860416666699</v>
      </c>
      <c r="T322" s="72"/>
      <c r="U322" s="63">
        <v>45551.411111111098</v>
      </c>
      <c r="V322" s="64">
        <v>-13</v>
      </c>
    </row>
    <row r="323" spans="1:22" ht="11.25" x14ac:dyDescent="0.2">
      <c r="A323" s="65">
        <v>306405</v>
      </c>
      <c r="B323" s="65" t="s">
        <v>1138</v>
      </c>
      <c r="C323" s="66" t="s">
        <v>1139</v>
      </c>
      <c r="D323" s="66" t="s">
        <v>1140</v>
      </c>
      <c r="E323" s="67" t="s">
        <v>1141</v>
      </c>
      <c r="F323" s="66" t="s">
        <v>1142</v>
      </c>
      <c r="G323" s="67" t="s">
        <v>23</v>
      </c>
      <c r="H323" s="65" t="s">
        <v>22</v>
      </c>
      <c r="I323" s="67" t="s">
        <v>24</v>
      </c>
      <c r="J323" s="67" t="s">
        <v>1143</v>
      </c>
      <c r="K323" s="67" t="s">
        <v>1144</v>
      </c>
      <c r="L323" s="65" t="s">
        <v>36</v>
      </c>
      <c r="M323" s="68" t="s">
        <v>37</v>
      </c>
      <c r="N323" s="68" t="s">
        <v>57</v>
      </c>
      <c r="O323" s="68" t="s">
        <v>58</v>
      </c>
      <c r="P323" s="69">
        <v>45499.333333333299</v>
      </c>
      <c r="Q323" s="70"/>
      <c r="R323" s="70" t="s">
        <v>31</v>
      </c>
      <c r="S323" s="71">
        <v>45461.610416666699</v>
      </c>
      <c r="T323" s="72"/>
      <c r="U323" s="63">
        <v>45552.502083333296</v>
      </c>
      <c r="V323" s="64">
        <v>-14</v>
      </c>
    </row>
    <row r="324" spans="1:22" ht="11.25" x14ac:dyDescent="0.2">
      <c r="A324" s="65">
        <v>306415</v>
      </c>
      <c r="B324" s="65" t="s">
        <v>1145</v>
      </c>
      <c r="C324" s="66" t="s">
        <v>1146</v>
      </c>
      <c r="D324" s="66" t="s">
        <v>1470</v>
      </c>
      <c r="E324" s="67" t="s">
        <v>261</v>
      </c>
      <c r="F324" s="66" t="s">
        <v>262</v>
      </c>
      <c r="G324" s="67" t="s">
        <v>33</v>
      </c>
      <c r="H324" s="65" t="s">
        <v>34</v>
      </c>
      <c r="I324" s="67" t="s">
        <v>35</v>
      </c>
      <c r="J324" s="67" t="s">
        <v>66</v>
      </c>
      <c r="K324" s="67" t="s">
        <v>67</v>
      </c>
      <c r="L324" s="65" t="s">
        <v>36</v>
      </c>
      <c r="M324" s="68" t="s">
        <v>37</v>
      </c>
      <c r="N324" s="68" t="s">
        <v>76</v>
      </c>
      <c r="O324" s="68" t="s">
        <v>77</v>
      </c>
      <c r="P324" s="69">
        <v>45520.452083333301</v>
      </c>
      <c r="Q324" s="70"/>
      <c r="R324" s="70" t="s">
        <v>31</v>
      </c>
      <c r="S324" s="71">
        <v>45435.531944444403</v>
      </c>
      <c r="T324" s="72"/>
      <c r="U324" s="63">
        <v>45553.659027777801</v>
      </c>
      <c r="V324" s="64">
        <v>-15</v>
      </c>
    </row>
    <row r="325" spans="1:22" ht="11.25" x14ac:dyDescent="0.2">
      <c r="A325" s="65">
        <v>306417</v>
      </c>
      <c r="B325" s="65" t="s">
        <v>1147</v>
      </c>
      <c r="C325" s="66" t="s">
        <v>1148</v>
      </c>
      <c r="D325" s="66" t="s">
        <v>1148</v>
      </c>
      <c r="E325" s="67" t="s">
        <v>101</v>
      </c>
      <c r="F325" s="66" t="s">
        <v>102</v>
      </c>
      <c r="G325" s="67" t="s">
        <v>23</v>
      </c>
      <c r="H325" s="65" t="s">
        <v>22</v>
      </c>
      <c r="I325" s="67" t="s">
        <v>24</v>
      </c>
      <c r="J325" s="67" t="s">
        <v>66</v>
      </c>
      <c r="K325" s="67" t="s">
        <v>67</v>
      </c>
      <c r="L325" s="65" t="s">
        <v>36</v>
      </c>
      <c r="M325" s="68" t="s">
        <v>37</v>
      </c>
      <c r="N325" s="68" t="s">
        <v>29</v>
      </c>
      <c r="O325" s="68" t="s">
        <v>30</v>
      </c>
      <c r="P325" s="69">
        <v>45467.628472222197</v>
      </c>
      <c r="Q325" s="70"/>
      <c r="R325" s="70" t="s">
        <v>31</v>
      </c>
      <c r="S325" s="71">
        <v>45463.523611111101</v>
      </c>
      <c r="T325" s="72" t="s">
        <v>80</v>
      </c>
      <c r="U325" s="63">
        <v>45554.418055555601</v>
      </c>
      <c r="V325" s="64">
        <v>-16</v>
      </c>
    </row>
    <row r="326" spans="1:22" ht="11.25" x14ac:dyDescent="0.2">
      <c r="A326" s="65">
        <v>306418</v>
      </c>
      <c r="B326" s="65" t="s">
        <v>1149</v>
      </c>
      <c r="C326" s="66" t="s">
        <v>1150</v>
      </c>
      <c r="D326" s="66" t="s">
        <v>1150</v>
      </c>
      <c r="E326" s="67" t="s">
        <v>880</v>
      </c>
      <c r="F326" s="66" t="s">
        <v>881</v>
      </c>
      <c r="G326" s="67" t="s">
        <v>23</v>
      </c>
      <c r="H326" s="65" t="s">
        <v>179</v>
      </c>
      <c r="I326" s="67" t="s">
        <v>180</v>
      </c>
      <c r="J326" s="67" t="s">
        <v>989</v>
      </c>
      <c r="K326" s="67" t="s">
        <v>990</v>
      </c>
      <c r="L326" s="65" t="s">
        <v>36</v>
      </c>
      <c r="M326" s="68" t="s">
        <v>37</v>
      </c>
      <c r="N326" s="68" t="s">
        <v>83</v>
      </c>
      <c r="O326" s="68" t="s">
        <v>84</v>
      </c>
      <c r="P326" s="69"/>
      <c r="Q326" s="70"/>
      <c r="R326" s="70" t="s">
        <v>31</v>
      </c>
      <c r="S326" s="71">
        <v>45463.631944444402</v>
      </c>
      <c r="T326" s="72" t="s">
        <v>85</v>
      </c>
      <c r="U326" s="63">
        <v>45553.631944444402</v>
      </c>
      <c r="V326" s="64">
        <v>-15</v>
      </c>
    </row>
    <row r="327" spans="1:22" ht="11.25" x14ac:dyDescent="0.2">
      <c r="A327" s="65">
        <v>306424</v>
      </c>
      <c r="B327" s="65" t="s">
        <v>1151</v>
      </c>
      <c r="C327" s="66" t="s">
        <v>1152</v>
      </c>
      <c r="D327" s="66" t="s">
        <v>1152</v>
      </c>
      <c r="E327" s="67" t="s">
        <v>671</v>
      </c>
      <c r="F327" s="66" t="s">
        <v>672</v>
      </c>
      <c r="G327" s="67" t="s">
        <v>23</v>
      </c>
      <c r="H327" s="65" t="s">
        <v>49</v>
      </c>
      <c r="I327" s="67" t="s">
        <v>50</v>
      </c>
      <c r="J327" s="67" t="s">
        <v>66</v>
      </c>
      <c r="K327" s="67" t="s">
        <v>67</v>
      </c>
      <c r="L327" s="65" t="s">
        <v>36</v>
      </c>
      <c r="M327" s="68" t="s">
        <v>37</v>
      </c>
      <c r="N327" s="68" t="s">
        <v>57</v>
      </c>
      <c r="O327" s="68" t="s">
        <v>58</v>
      </c>
      <c r="P327" s="69"/>
      <c r="Q327" s="70"/>
      <c r="R327" s="70" t="s">
        <v>40</v>
      </c>
      <c r="S327" s="71">
        <v>45463.413888888899</v>
      </c>
      <c r="T327" s="72" t="s">
        <v>85</v>
      </c>
      <c r="U327" s="63">
        <v>45493.413888888899</v>
      </c>
      <c r="V327" s="64">
        <v>45</v>
      </c>
    </row>
    <row r="328" spans="1:22" ht="11.25" x14ac:dyDescent="0.2">
      <c r="A328" s="65">
        <v>306426</v>
      </c>
      <c r="B328" s="65" t="s">
        <v>1153</v>
      </c>
      <c r="C328" s="66" t="s">
        <v>1154</v>
      </c>
      <c r="D328" s="66" t="s">
        <v>1154</v>
      </c>
      <c r="E328" s="67" t="s">
        <v>1155</v>
      </c>
      <c r="F328" s="66" t="s">
        <v>1156</v>
      </c>
      <c r="G328" s="67" t="s">
        <v>48</v>
      </c>
      <c r="H328" s="65" t="s">
        <v>179</v>
      </c>
      <c r="I328" s="67" t="s">
        <v>180</v>
      </c>
      <c r="J328" s="67" t="s">
        <v>66</v>
      </c>
      <c r="K328" s="67" t="s">
        <v>67</v>
      </c>
      <c r="L328" s="65" t="s">
        <v>36</v>
      </c>
      <c r="M328" s="68" t="s">
        <v>37</v>
      </c>
      <c r="N328" s="68" t="s">
        <v>83</v>
      </c>
      <c r="O328" s="68" t="s">
        <v>84</v>
      </c>
      <c r="P328" s="69"/>
      <c r="Q328" s="70"/>
      <c r="R328" s="70" t="s">
        <v>31</v>
      </c>
      <c r="S328" s="71">
        <v>45463.366666666698</v>
      </c>
      <c r="T328" s="72" t="s">
        <v>1157</v>
      </c>
      <c r="U328" s="63">
        <v>45553.366666666698</v>
      </c>
      <c r="V328" s="64">
        <v>-15</v>
      </c>
    </row>
    <row r="329" spans="1:22" ht="11.25" x14ac:dyDescent="0.2">
      <c r="A329" s="65">
        <v>306430</v>
      </c>
      <c r="B329" s="65" t="s">
        <v>1158</v>
      </c>
      <c r="C329" s="66" t="s">
        <v>1159</v>
      </c>
      <c r="D329" s="66" t="s">
        <v>1159</v>
      </c>
      <c r="E329" s="67" t="s">
        <v>63</v>
      </c>
      <c r="F329" s="66" t="s">
        <v>64</v>
      </c>
      <c r="G329" s="67" t="s">
        <v>33</v>
      </c>
      <c r="H329" s="65" t="s">
        <v>179</v>
      </c>
      <c r="I329" s="67" t="s">
        <v>180</v>
      </c>
      <c r="J329" s="67" t="s">
        <v>66</v>
      </c>
      <c r="K329" s="67" t="s">
        <v>67</v>
      </c>
      <c r="L329" s="65" t="s">
        <v>36</v>
      </c>
      <c r="M329" s="68" t="s">
        <v>37</v>
      </c>
      <c r="N329" s="68" t="s">
        <v>83</v>
      </c>
      <c r="O329" s="68" t="s">
        <v>84</v>
      </c>
      <c r="P329" s="69"/>
      <c r="Q329" s="70"/>
      <c r="R329" s="70" t="s">
        <v>31</v>
      </c>
      <c r="S329" s="71">
        <v>45461.284722222197</v>
      </c>
      <c r="T329" s="72" t="s">
        <v>65</v>
      </c>
      <c r="U329" s="63">
        <v>45551.284722222197</v>
      </c>
      <c r="V329" s="64">
        <v>-13</v>
      </c>
    </row>
    <row r="330" spans="1:22" ht="11.25" x14ac:dyDescent="0.2">
      <c r="A330" s="65">
        <v>306431</v>
      </c>
      <c r="B330" s="65" t="s">
        <v>1160</v>
      </c>
      <c r="C330" s="66" t="s">
        <v>1161</v>
      </c>
      <c r="D330" s="66" t="s">
        <v>1161</v>
      </c>
      <c r="E330" s="67" t="s">
        <v>203</v>
      </c>
      <c r="F330" s="66" t="s">
        <v>204</v>
      </c>
      <c r="G330" s="67" t="s">
        <v>23</v>
      </c>
      <c r="H330" s="65" t="s">
        <v>81</v>
      </c>
      <c r="I330" s="67" t="s">
        <v>82</v>
      </c>
      <c r="J330" s="67" t="s">
        <v>1162</v>
      </c>
      <c r="K330" s="67" t="s">
        <v>1163</v>
      </c>
      <c r="L330" s="65" t="s">
        <v>36</v>
      </c>
      <c r="M330" s="68" t="s">
        <v>37</v>
      </c>
      <c r="N330" s="68" t="s">
        <v>76</v>
      </c>
      <c r="O330" s="68" t="s">
        <v>77</v>
      </c>
      <c r="P330" s="69"/>
      <c r="Q330" s="70"/>
      <c r="R330" s="70" t="s">
        <v>40</v>
      </c>
      <c r="S330" s="71">
        <v>45462.1784722222</v>
      </c>
      <c r="T330" s="72" t="s">
        <v>193</v>
      </c>
      <c r="U330" s="63">
        <v>45464.418055555601</v>
      </c>
      <c r="V330" s="64">
        <v>74</v>
      </c>
    </row>
    <row r="331" spans="1:22" ht="11.25" x14ac:dyDescent="0.2">
      <c r="A331" s="65">
        <v>306432</v>
      </c>
      <c r="B331" s="65" t="s">
        <v>1164</v>
      </c>
      <c r="C331" s="66" t="s">
        <v>1165</v>
      </c>
      <c r="D331" s="66" t="s">
        <v>1166</v>
      </c>
      <c r="E331" s="67" t="s">
        <v>1167</v>
      </c>
      <c r="F331" s="66" t="s">
        <v>1168</v>
      </c>
      <c r="G331" s="67" t="s">
        <v>33</v>
      </c>
      <c r="H331" s="65" t="s">
        <v>34</v>
      </c>
      <c r="I331" s="67" t="s">
        <v>35</v>
      </c>
      <c r="J331" s="67" t="s">
        <v>1169</v>
      </c>
      <c r="K331" s="67" t="s">
        <v>1170</v>
      </c>
      <c r="L331" s="65" t="s">
        <v>36</v>
      </c>
      <c r="M331" s="68" t="s">
        <v>37</v>
      </c>
      <c r="N331" s="68" t="s">
        <v>83</v>
      </c>
      <c r="O331" s="68" t="s">
        <v>84</v>
      </c>
      <c r="P331" s="69">
        <v>45519.519444444399</v>
      </c>
      <c r="Q331" s="70"/>
      <c r="R331" s="70" t="s">
        <v>31</v>
      </c>
      <c r="S331" s="71">
        <v>45463.833333333299</v>
      </c>
      <c r="T331" s="72"/>
      <c r="U331" s="63">
        <v>45554.632638888899</v>
      </c>
      <c r="V331" s="64">
        <v>-16</v>
      </c>
    </row>
    <row r="332" spans="1:22" ht="11.25" x14ac:dyDescent="0.2">
      <c r="A332" s="65">
        <v>306438</v>
      </c>
      <c r="B332" s="65" t="s">
        <v>1173</v>
      </c>
      <c r="C332" s="66" t="s">
        <v>1174</v>
      </c>
      <c r="D332" s="66" t="s">
        <v>1174</v>
      </c>
      <c r="E332" s="67" t="s">
        <v>196</v>
      </c>
      <c r="F332" s="66" t="s">
        <v>197</v>
      </c>
      <c r="G332" s="67" t="s">
        <v>23</v>
      </c>
      <c r="H332" s="65" t="s">
        <v>179</v>
      </c>
      <c r="I332" s="67" t="s">
        <v>180</v>
      </c>
      <c r="J332" s="67" t="s">
        <v>1175</v>
      </c>
      <c r="K332" s="67" t="s">
        <v>1176</v>
      </c>
      <c r="L332" s="65" t="s">
        <v>36</v>
      </c>
      <c r="M332" s="68" t="s">
        <v>37</v>
      </c>
      <c r="N332" s="68" t="s">
        <v>83</v>
      </c>
      <c r="O332" s="68" t="s">
        <v>84</v>
      </c>
      <c r="P332" s="69"/>
      <c r="Q332" s="70"/>
      <c r="R332" s="70" t="s">
        <v>31</v>
      </c>
      <c r="S332" s="71">
        <v>45464.619444444397</v>
      </c>
      <c r="T332" s="72" t="s">
        <v>198</v>
      </c>
      <c r="U332" s="63">
        <v>45554.619444444397</v>
      </c>
      <c r="V332" s="64">
        <v>-16</v>
      </c>
    </row>
    <row r="333" spans="1:22" ht="11.25" x14ac:dyDescent="0.2">
      <c r="A333" s="65">
        <v>306449</v>
      </c>
      <c r="B333" s="65" t="s">
        <v>1179</v>
      </c>
      <c r="C333" s="66" t="s">
        <v>1180</v>
      </c>
      <c r="D333" s="66" t="s">
        <v>1181</v>
      </c>
      <c r="E333" s="67" t="s">
        <v>632</v>
      </c>
      <c r="F333" s="66" t="s">
        <v>633</v>
      </c>
      <c r="G333" s="67" t="s">
        <v>23</v>
      </c>
      <c r="H333" s="65" t="s">
        <v>34</v>
      </c>
      <c r="I333" s="67" t="s">
        <v>35</v>
      </c>
      <c r="J333" s="67" t="s">
        <v>634</v>
      </c>
      <c r="K333" s="67" t="s">
        <v>635</v>
      </c>
      <c r="L333" s="65" t="s">
        <v>36</v>
      </c>
      <c r="M333" s="68" t="s">
        <v>37</v>
      </c>
      <c r="N333" s="68" t="s">
        <v>29</v>
      </c>
      <c r="O333" s="68" t="s">
        <v>30</v>
      </c>
      <c r="P333" s="69">
        <v>45519.520138888904</v>
      </c>
      <c r="Q333" s="70"/>
      <c r="R333" s="70" t="s">
        <v>31</v>
      </c>
      <c r="S333" s="71">
        <v>45457.411111111098</v>
      </c>
      <c r="T333" s="72"/>
      <c r="U333" s="63">
        <v>45560.652083333298</v>
      </c>
      <c r="V333" s="64">
        <v>-22</v>
      </c>
    </row>
    <row r="334" spans="1:22" ht="11.25" x14ac:dyDescent="0.2">
      <c r="A334" s="65">
        <v>306450</v>
      </c>
      <c r="B334" s="65" t="s">
        <v>1182</v>
      </c>
      <c r="C334" s="66" t="s">
        <v>1183</v>
      </c>
      <c r="D334" s="66" t="s">
        <v>1184</v>
      </c>
      <c r="E334" s="67" t="s">
        <v>574</v>
      </c>
      <c r="F334" s="66" t="s">
        <v>575</v>
      </c>
      <c r="G334" s="67" t="s">
        <v>222</v>
      </c>
      <c r="H334" s="65" t="s">
        <v>34</v>
      </c>
      <c r="I334" s="67" t="s">
        <v>35</v>
      </c>
      <c r="J334" s="67" t="s">
        <v>1063</v>
      </c>
      <c r="K334" s="67" t="s">
        <v>992</v>
      </c>
      <c r="L334" s="65" t="s">
        <v>27</v>
      </c>
      <c r="M334" s="68" t="s">
        <v>28</v>
      </c>
      <c r="N334" s="68" t="s">
        <v>90</v>
      </c>
      <c r="O334" s="68" t="s">
        <v>91</v>
      </c>
      <c r="P334" s="69">
        <v>45471.665972222203</v>
      </c>
      <c r="Q334" s="70"/>
      <c r="R334" s="70" t="s">
        <v>40</v>
      </c>
      <c r="S334" s="71">
        <v>45469.6652777778</v>
      </c>
      <c r="T334" s="72"/>
      <c r="U334" s="63">
        <v>45470.664583333302</v>
      </c>
      <c r="V334" s="64">
        <v>68</v>
      </c>
    </row>
    <row r="335" spans="1:22" ht="11.25" x14ac:dyDescent="0.2">
      <c r="A335" s="65">
        <v>306451</v>
      </c>
      <c r="B335" s="65" t="s">
        <v>1185</v>
      </c>
      <c r="C335" s="66" t="s">
        <v>1186</v>
      </c>
      <c r="D335" s="66" t="s">
        <v>1187</v>
      </c>
      <c r="E335" s="67" t="s">
        <v>136</v>
      </c>
      <c r="F335" s="66" t="s">
        <v>137</v>
      </c>
      <c r="G335" s="67" t="s">
        <v>23</v>
      </c>
      <c r="H335" s="65" t="s">
        <v>34</v>
      </c>
      <c r="I335" s="67" t="s">
        <v>35</v>
      </c>
      <c r="J335" s="67" t="s">
        <v>226</v>
      </c>
      <c r="K335" s="67" t="s">
        <v>227</v>
      </c>
      <c r="L335" s="65" t="s">
        <v>36</v>
      </c>
      <c r="M335" s="68" t="s">
        <v>37</v>
      </c>
      <c r="N335" s="68" t="s">
        <v>83</v>
      </c>
      <c r="O335" s="68" t="s">
        <v>84</v>
      </c>
      <c r="P335" s="69">
        <v>45472.466666666704</v>
      </c>
      <c r="Q335" s="70"/>
      <c r="R335" s="70" t="s">
        <v>40</v>
      </c>
      <c r="S335" s="71">
        <v>45467.613194444399</v>
      </c>
      <c r="T335" s="72"/>
      <c r="U335" s="63">
        <v>45471.465277777803</v>
      </c>
      <c r="V335" s="64">
        <v>67</v>
      </c>
    </row>
    <row r="336" spans="1:22" ht="11.25" x14ac:dyDescent="0.2">
      <c r="A336" s="65">
        <v>306460</v>
      </c>
      <c r="B336" s="65" t="s">
        <v>1188</v>
      </c>
      <c r="C336" s="66" t="s">
        <v>1189</v>
      </c>
      <c r="D336" s="66" t="s">
        <v>1189</v>
      </c>
      <c r="E336" s="67" t="s">
        <v>632</v>
      </c>
      <c r="F336" s="66" t="s">
        <v>633</v>
      </c>
      <c r="G336" s="67" t="s">
        <v>23</v>
      </c>
      <c r="H336" s="65" t="s">
        <v>179</v>
      </c>
      <c r="I336" s="67" t="s">
        <v>180</v>
      </c>
      <c r="J336" s="67" t="s">
        <v>66</v>
      </c>
      <c r="K336" s="67" t="s">
        <v>67</v>
      </c>
      <c r="L336" s="65" t="s">
        <v>36</v>
      </c>
      <c r="M336" s="68" t="s">
        <v>37</v>
      </c>
      <c r="N336" s="68" t="s">
        <v>29</v>
      </c>
      <c r="O336" s="68" t="s">
        <v>30</v>
      </c>
      <c r="P336" s="69"/>
      <c r="Q336" s="70"/>
      <c r="R336" s="70" t="s">
        <v>31</v>
      </c>
      <c r="S336" s="71">
        <v>45470.543055555601</v>
      </c>
      <c r="T336" s="72" t="s">
        <v>99</v>
      </c>
      <c r="U336" s="63">
        <v>45560.543055555601</v>
      </c>
      <c r="V336" s="64">
        <v>-22</v>
      </c>
    </row>
    <row r="337" spans="1:22" ht="11.25" x14ac:dyDescent="0.2">
      <c r="A337" s="65">
        <v>306463</v>
      </c>
      <c r="B337" s="65" t="s">
        <v>1190</v>
      </c>
      <c r="C337" s="66" t="s">
        <v>1191</v>
      </c>
      <c r="D337" s="66" t="s">
        <v>1192</v>
      </c>
      <c r="E337" s="67" t="s">
        <v>55</v>
      </c>
      <c r="F337" s="66" t="s">
        <v>56</v>
      </c>
      <c r="G337" s="67" t="s">
        <v>33</v>
      </c>
      <c r="H337" s="65" t="s">
        <v>22</v>
      </c>
      <c r="I337" s="67" t="s">
        <v>24</v>
      </c>
      <c r="J337" s="67" t="s">
        <v>66</v>
      </c>
      <c r="K337" s="67" t="s">
        <v>67</v>
      </c>
      <c r="L337" s="65" t="s">
        <v>36</v>
      </c>
      <c r="M337" s="68" t="s">
        <v>37</v>
      </c>
      <c r="N337" s="68" t="s">
        <v>57</v>
      </c>
      <c r="O337" s="68" t="s">
        <v>58</v>
      </c>
      <c r="P337" s="69">
        <v>45476.333333333299</v>
      </c>
      <c r="Q337" s="70"/>
      <c r="R337" s="70" t="s">
        <v>31</v>
      </c>
      <c r="S337" s="71">
        <v>45471.552777777797</v>
      </c>
      <c r="T337" s="72" t="s">
        <v>59</v>
      </c>
      <c r="U337" s="63">
        <v>45562.416666666701</v>
      </c>
      <c r="V337" s="64">
        <v>-24</v>
      </c>
    </row>
    <row r="338" spans="1:22" ht="11.25" x14ac:dyDescent="0.2">
      <c r="A338" s="65">
        <v>306464</v>
      </c>
      <c r="B338" s="65" t="s">
        <v>1193</v>
      </c>
      <c r="C338" s="66" t="s">
        <v>1194</v>
      </c>
      <c r="D338" s="66" t="s">
        <v>1195</v>
      </c>
      <c r="E338" s="67" t="s">
        <v>55</v>
      </c>
      <c r="F338" s="66" t="s">
        <v>56</v>
      </c>
      <c r="G338" s="67" t="s">
        <v>33</v>
      </c>
      <c r="H338" s="65" t="s">
        <v>22</v>
      </c>
      <c r="I338" s="67" t="s">
        <v>24</v>
      </c>
      <c r="J338" s="67" t="s">
        <v>66</v>
      </c>
      <c r="K338" s="67" t="s">
        <v>67</v>
      </c>
      <c r="L338" s="65" t="s">
        <v>36</v>
      </c>
      <c r="M338" s="68" t="s">
        <v>37</v>
      </c>
      <c r="N338" s="68" t="s">
        <v>57</v>
      </c>
      <c r="O338" s="68" t="s">
        <v>58</v>
      </c>
      <c r="P338" s="69"/>
      <c r="Q338" s="70"/>
      <c r="R338" s="70" t="s">
        <v>31</v>
      </c>
      <c r="S338" s="71">
        <v>45471.554166666698</v>
      </c>
      <c r="T338" s="72" t="s">
        <v>59</v>
      </c>
      <c r="U338" s="63">
        <v>45561.554166666698</v>
      </c>
      <c r="V338" s="64">
        <v>-23</v>
      </c>
    </row>
    <row r="339" spans="1:22" ht="11.25" x14ac:dyDescent="0.2">
      <c r="A339" s="65">
        <v>306466</v>
      </c>
      <c r="B339" s="65" t="s">
        <v>1196</v>
      </c>
      <c r="C339" s="66" t="s">
        <v>1197</v>
      </c>
      <c r="D339" s="66" t="s">
        <v>1198</v>
      </c>
      <c r="E339" s="67" t="s">
        <v>155</v>
      </c>
      <c r="F339" s="66" t="s">
        <v>156</v>
      </c>
      <c r="G339" s="67" t="s">
        <v>33</v>
      </c>
      <c r="H339" s="65" t="s">
        <v>179</v>
      </c>
      <c r="I339" s="67" t="s">
        <v>180</v>
      </c>
      <c r="J339" s="67" t="s">
        <v>66</v>
      </c>
      <c r="K339" s="67" t="s">
        <v>67</v>
      </c>
      <c r="L339" s="65" t="s">
        <v>36</v>
      </c>
      <c r="M339" s="68" t="s">
        <v>37</v>
      </c>
      <c r="N339" s="68" t="s">
        <v>76</v>
      </c>
      <c r="O339" s="68" t="s">
        <v>77</v>
      </c>
      <c r="P339" s="69"/>
      <c r="Q339" s="70"/>
      <c r="R339" s="70" t="s">
        <v>31</v>
      </c>
      <c r="S339" s="71">
        <v>45471.559722222199</v>
      </c>
      <c r="T339" s="72" t="s">
        <v>100</v>
      </c>
      <c r="U339" s="63">
        <v>45561.559722222199</v>
      </c>
      <c r="V339" s="64">
        <v>-23</v>
      </c>
    </row>
    <row r="340" spans="1:22" ht="11.25" x14ac:dyDescent="0.2">
      <c r="A340" s="65">
        <v>306467</v>
      </c>
      <c r="B340" s="65" t="s">
        <v>1199</v>
      </c>
      <c r="C340" s="66" t="s">
        <v>1200</v>
      </c>
      <c r="D340" s="66" t="s">
        <v>1201</v>
      </c>
      <c r="E340" s="67" t="s">
        <v>1202</v>
      </c>
      <c r="F340" s="66" t="s">
        <v>1203</v>
      </c>
      <c r="G340" s="67" t="s">
        <v>33</v>
      </c>
      <c r="H340" s="65" t="s">
        <v>34</v>
      </c>
      <c r="I340" s="67" t="s">
        <v>35</v>
      </c>
      <c r="J340" s="67" t="s">
        <v>66</v>
      </c>
      <c r="K340" s="67" t="s">
        <v>67</v>
      </c>
      <c r="L340" s="65" t="s">
        <v>36</v>
      </c>
      <c r="M340" s="68" t="s">
        <v>37</v>
      </c>
      <c r="N340" s="68" t="s">
        <v>51</v>
      </c>
      <c r="O340" s="68" t="s">
        <v>52</v>
      </c>
      <c r="P340" s="69">
        <v>45531.576388888898</v>
      </c>
      <c r="Q340" s="70"/>
      <c r="R340" s="70" t="s">
        <v>31</v>
      </c>
      <c r="S340" s="71">
        <v>45471.5625</v>
      </c>
      <c r="T340" s="72" t="s">
        <v>969</v>
      </c>
      <c r="U340" s="63">
        <v>45562.416666666701</v>
      </c>
      <c r="V340" s="64">
        <v>-24</v>
      </c>
    </row>
    <row r="341" spans="1:22" ht="11.25" x14ac:dyDescent="0.2">
      <c r="A341" s="65">
        <v>306477</v>
      </c>
      <c r="B341" s="65" t="s">
        <v>1471</v>
      </c>
      <c r="C341" s="66" t="s">
        <v>1472</v>
      </c>
      <c r="D341" s="66" t="s">
        <v>1472</v>
      </c>
      <c r="E341" s="67" t="s">
        <v>574</v>
      </c>
      <c r="F341" s="66" t="s">
        <v>575</v>
      </c>
      <c r="G341" s="67" t="s">
        <v>222</v>
      </c>
      <c r="H341" s="65" t="s">
        <v>53</v>
      </c>
      <c r="I341" s="67" t="s">
        <v>54</v>
      </c>
      <c r="J341" s="67" t="s">
        <v>1473</v>
      </c>
      <c r="K341" s="67" t="s">
        <v>1474</v>
      </c>
      <c r="L341" s="65" t="s">
        <v>27</v>
      </c>
      <c r="M341" s="68" t="s">
        <v>28</v>
      </c>
      <c r="N341" s="68" t="s">
        <v>201</v>
      </c>
      <c r="O341" s="68" t="s">
        <v>202</v>
      </c>
      <c r="P341" s="69">
        <v>45484.354166666701</v>
      </c>
      <c r="Q341" s="70"/>
      <c r="R341" s="70" t="s">
        <v>40</v>
      </c>
      <c r="S341" s="71">
        <v>45474.5</v>
      </c>
      <c r="T341" s="72"/>
      <c r="U341" s="63">
        <v>45474.629861111098</v>
      </c>
      <c r="V341" s="64">
        <v>64</v>
      </c>
    </row>
    <row r="342" spans="1:22" ht="11.25" x14ac:dyDescent="0.2">
      <c r="A342" s="65">
        <v>306480</v>
      </c>
      <c r="B342" s="65" t="s">
        <v>1185</v>
      </c>
      <c r="C342" s="66" t="s">
        <v>1206</v>
      </c>
      <c r="D342" s="66" t="s">
        <v>1207</v>
      </c>
      <c r="E342" s="67" t="s">
        <v>136</v>
      </c>
      <c r="F342" s="66" t="s">
        <v>137</v>
      </c>
      <c r="G342" s="67" t="s">
        <v>23</v>
      </c>
      <c r="H342" s="65" t="s">
        <v>179</v>
      </c>
      <c r="I342" s="67" t="s">
        <v>180</v>
      </c>
      <c r="J342" s="67" t="s">
        <v>226</v>
      </c>
      <c r="K342" s="67" t="s">
        <v>227</v>
      </c>
      <c r="L342" s="65" t="s">
        <v>36</v>
      </c>
      <c r="M342" s="68" t="s">
        <v>37</v>
      </c>
      <c r="N342" s="68" t="s">
        <v>83</v>
      </c>
      <c r="O342" s="68" t="s">
        <v>84</v>
      </c>
      <c r="P342" s="69"/>
      <c r="Q342" s="70"/>
      <c r="R342" s="70" t="s">
        <v>31</v>
      </c>
      <c r="S342" s="71">
        <v>45467.611111111102</v>
      </c>
      <c r="T342" s="72" t="s">
        <v>140</v>
      </c>
      <c r="U342" s="63">
        <v>45557.611111111102</v>
      </c>
      <c r="V342" s="64">
        <v>-19</v>
      </c>
    </row>
    <row r="343" spans="1:22" ht="11.25" x14ac:dyDescent="0.2">
      <c r="A343" s="65">
        <v>306484</v>
      </c>
      <c r="B343" s="65" t="s">
        <v>1208</v>
      </c>
      <c r="C343" s="66" t="s">
        <v>1209</v>
      </c>
      <c r="D343" s="66" t="s">
        <v>1209</v>
      </c>
      <c r="E343" s="67" t="s">
        <v>1210</v>
      </c>
      <c r="F343" s="66" t="s">
        <v>1211</v>
      </c>
      <c r="G343" s="67" t="s">
        <v>33</v>
      </c>
      <c r="H343" s="65" t="s">
        <v>179</v>
      </c>
      <c r="I343" s="67" t="s">
        <v>180</v>
      </c>
      <c r="J343" s="67" t="s">
        <v>1169</v>
      </c>
      <c r="K343" s="67" t="s">
        <v>1170</v>
      </c>
      <c r="L343" s="65" t="s">
        <v>36</v>
      </c>
      <c r="M343" s="68" t="s">
        <v>37</v>
      </c>
      <c r="N343" s="68" t="s">
        <v>38</v>
      </c>
      <c r="O343" s="68" t="s">
        <v>39</v>
      </c>
      <c r="P343" s="69"/>
      <c r="Q343" s="70"/>
      <c r="R343" s="70" t="s">
        <v>31</v>
      </c>
      <c r="S343" s="71">
        <v>45475.769444444399</v>
      </c>
      <c r="T343" s="72" t="s">
        <v>167</v>
      </c>
      <c r="U343" s="63">
        <v>45565.769444444399</v>
      </c>
      <c r="V343" s="64">
        <v>-27</v>
      </c>
    </row>
    <row r="344" spans="1:22" ht="11.25" x14ac:dyDescent="0.2">
      <c r="A344" s="65">
        <v>306485</v>
      </c>
      <c r="B344" s="65" t="s">
        <v>1212</v>
      </c>
      <c r="C344" s="66" t="s">
        <v>1213</v>
      </c>
      <c r="D344" s="66" t="s">
        <v>1214</v>
      </c>
      <c r="E344" s="67" t="s">
        <v>1215</v>
      </c>
      <c r="F344" s="66" t="s">
        <v>1216</v>
      </c>
      <c r="G344" s="67" t="s">
        <v>33</v>
      </c>
      <c r="H344" s="65" t="s">
        <v>179</v>
      </c>
      <c r="I344" s="67" t="s">
        <v>180</v>
      </c>
      <c r="J344" s="67" t="s">
        <v>66</v>
      </c>
      <c r="K344" s="67" t="s">
        <v>67</v>
      </c>
      <c r="L344" s="65" t="s">
        <v>36</v>
      </c>
      <c r="M344" s="68" t="s">
        <v>37</v>
      </c>
      <c r="N344" s="68" t="s">
        <v>83</v>
      </c>
      <c r="O344" s="68" t="s">
        <v>84</v>
      </c>
      <c r="P344" s="69"/>
      <c r="Q344" s="70"/>
      <c r="R344" s="70" t="s">
        <v>31</v>
      </c>
      <c r="S344" s="71">
        <v>45475.4909722222</v>
      </c>
      <c r="T344" s="72" t="s">
        <v>596</v>
      </c>
      <c r="U344" s="63">
        <v>45565.4909722222</v>
      </c>
      <c r="V344" s="64">
        <v>-27</v>
      </c>
    </row>
    <row r="345" spans="1:22" ht="11.25" x14ac:dyDescent="0.2">
      <c r="A345" s="65">
        <v>306488</v>
      </c>
      <c r="B345" s="65" t="s">
        <v>1218</v>
      </c>
      <c r="C345" s="66" t="s">
        <v>1219</v>
      </c>
      <c r="D345" s="66" t="s">
        <v>1219</v>
      </c>
      <c r="E345" s="67" t="s">
        <v>574</v>
      </c>
      <c r="F345" s="66" t="s">
        <v>575</v>
      </c>
      <c r="G345" s="67" t="s">
        <v>222</v>
      </c>
      <c r="H345" s="65" t="s">
        <v>34</v>
      </c>
      <c r="I345" s="67" t="s">
        <v>35</v>
      </c>
      <c r="J345" s="67" t="s">
        <v>576</v>
      </c>
      <c r="K345" s="67" t="s">
        <v>577</v>
      </c>
      <c r="L345" s="65" t="s">
        <v>237</v>
      </c>
      <c r="M345" s="68" t="s">
        <v>238</v>
      </c>
      <c r="N345" s="68" t="s">
        <v>83</v>
      </c>
      <c r="O345" s="68" t="s">
        <v>84</v>
      </c>
      <c r="P345" s="69">
        <v>45477.333333333299</v>
      </c>
      <c r="Q345" s="70"/>
      <c r="R345" s="70" t="s">
        <v>40</v>
      </c>
      <c r="S345" s="71">
        <v>45476.583333333299</v>
      </c>
      <c r="T345" s="72"/>
      <c r="U345" s="63">
        <v>45476.634722222203</v>
      </c>
      <c r="V345" s="64">
        <v>62</v>
      </c>
    </row>
    <row r="346" spans="1:22" ht="11.25" x14ac:dyDescent="0.2">
      <c r="A346" s="65">
        <v>306494</v>
      </c>
      <c r="B346" s="65" t="s">
        <v>1220</v>
      </c>
      <c r="C346" s="66" t="s">
        <v>1221</v>
      </c>
      <c r="D346" s="66" t="s">
        <v>1222</v>
      </c>
      <c r="E346" s="67" t="s">
        <v>832</v>
      </c>
      <c r="F346" s="66" t="s">
        <v>833</v>
      </c>
      <c r="G346" s="67" t="s">
        <v>23</v>
      </c>
      <c r="H346" s="65" t="s">
        <v>34</v>
      </c>
      <c r="I346" s="67" t="s">
        <v>35</v>
      </c>
      <c r="J346" s="67" t="s">
        <v>114</v>
      </c>
      <c r="K346" s="67" t="s">
        <v>115</v>
      </c>
      <c r="L346" s="65" t="s">
        <v>36</v>
      </c>
      <c r="M346" s="68" t="s">
        <v>37</v>
      </c>
      <c r="N346" s="68" t="s">
        <v>29</v>
      </c>
      <c r="O346" s="68" t="s">
        <v>30</v>
      </c>
      <c r="P346" s="69">
        <v>45477.3305555556</v>
      </c>
      <c r="Q346" s="70"/>
      <c r="R346" s="70" t="s">
        <v>47</v>
      </c>
      <c r="S346" s="71"/>
      <c r="T346" s="72"/>
      <c r="U346" s="63">
        <v>45627.328472222202</v>
      </c>
      <c r="V346" s="64">
        <v>-89</v>
      </c>
    </row>
    <row r="347" spans="1:22" ht="11.25" x14ac:dyDescent="0.2">
      <c r="A347" s="65">
        <v>306503</v>
      </c>
      <c r="B347" s="65" t="s">
        <v>1226</v>
      </c>
      <c r="C347" s="66" t="s">
        <v>1227</v>
      </c>
      <c r="D347" s="66" t="s">
        <v>1228</v>
      </c>
      <c r="E347" s="67" t="s">
        <v>86</v>
      </c>
      <c r="F347" s="66" t="s">
        <v>87</v>
      </c>
      <c r="G347" s="67" t="s">
        <v>23</v>
      </c>
      <c r="H347" s="65" t="s">
        <v>22</v>
      </c>
      <c r="I347" s="67" t="s">
        <v>24</v>
      </c>
      <c r="J347" s="67" t="s">
        <v>509</v>
      </c>
      <c r="K347" s="67" t="s">
        <v>510</v>
      </c>
      <c r="L347" s="65" t="s">
        <v>36</v>
      </c>
      <c r="M347" s="68" t="s">
        <v>37</v>
      </c>
      <c r="N347" s="68" t="s">
        <v>29</v>
      </c>
      <c r="O347" s="68" t="s">
        <v>30</v>
      </c>
      <c r="P347" s="69">
        <v>45481.591666666704</v>
      </c>
      <c r="Q347" s="70"/>
      <c r="R347" s="70" t="s">
        <v>31</v>
      </c>
      <c r="S347" s="71">
        <v>45450.605555555601</v>
      </c>
      <c r="T347" s="72"/>
      <c r="U347" s="63">
        <v>45568.590972222199</v>
      </c>
      <c r="V347" s="64">
        <v>-30</v>
      </c>
    </row>
    <row r="348" spans="1:22" ht="11.25" x14ac:dyDescent="0.2">
      <c r="A348" s="65">
        <v>306512</v>
      </c>
      <c r="B348" s="65" t="s">
        <v>1230</v>
      </c>
      <c r="C348" s="66" t="s">
        <v>1231</v>
      </c>
      <c r="D348" s="66" t="s">
        <v>1231</v>
      </c>
      <c r="E348" s="67" t="s">
        <v>42</v>
      </c>
      <c r="F348" s="66" t="s">
        <v>43</v>
      </c>
      <c r="G348" s="67" t="s">
        <v>23</v>
      </c>
      <c r="H348" s="65" t="s">
        <v>179</v>
      </c>
      <c r="I348" s="67" t="s">
        <v>180</v>
      </c>
      <c r="J348" s="67" t="s">
        <v>469</v>
      </c>
      <c r="K348" s="67" t="s">
        <v>470</v>
      </c>
      <c r="L348" s="65" t="s">
        <v>36</v>
      </c>
      <c r="M348" s="68" t="s">
        <v>37</v>
      </c>
      <c r="N348" s="68" t="s">
        <v>83</v>
      </c>
      <c r="O348" s="68" t="s">
        <v>84</v>
      </c>
      <c r="P348" s="69"/>
      <c r="Q348" s="70"/>
      <c r="R348" s="70" t="s">
        <v>31</v>
      </c>
      <c r="S348" s="71">
        <v>45475.363194444399</v>
      </c>
      <c r="T348" s="72" t="s">
        <v>46</v>
      </c>
      <c r="U348" s="63">
        <v>45565.363194444399</v>
      </c>
      <c r="V348" s="64">
        <v>-27</v>
      </c>
    </row>
    <row r="349" spans="1:22" ht="11.25" x14ac:dyDescent="0.2">
      <c r="A349" s="65">
        <v>306513</v>
      </c>
      <c r="B349" s="65" t="s">
        <v>1232</v>
      </c>
      <c r="C349" s="66" t="s">
        <v>1233</v>
      </c>
      <c r="D349" s="66" t="s">
        <v>1233</v>
      </c>
      <c r="E349" s="67" t="s">
        <v>1007</v>
      </c>
      <c r="F349" s="66" t="s">
        <v>1008</v>
      </c>
      <c r="G349" s="67" t="s">
        <v>23</v>
      </c>
      <c r="H349" s="65" t="s">
        <v>467</v>
      </c>
      <c r="I349" s="67" t="s">
        <v>468</v>
      </c>
      <c r="J349" s="67" t="s">
        <v>121</v>
      </c>
      <c r="K349" s="67" t="s">
        <v>122</v>
      </c>
      <c r="L349" s="65" t="s">
        <v>36</v>
      </c>
      <c r="M349" s="68" t="s">
        <v>37</v>
      </c>
      <c r="N349" s="68" t="s">
        <v>201</v>
      </c>
      <c r="O349" s="68" t="s">
        <v>202</v>
      </c>
      <c r="P349" s="69">
        <v>45524.5</v>
      </c>
      <c r="Q349" s="70">
        <v>45535.289583333302</v>
      </c>
      <c r="R349" s="70" t="s">
        <v>31</v>
      </c>
      <c r="S349" s="71">
        <v>45469.386805555601</v>
      </c>
      <c r="T349" s="72" t="s">
        <v>161</v>
      </c>
      <c r="U349" s="63">
        <v>45570.472916666702</v>
      </c>
      <c r="V349" s="64">
        <v>-32</v>
      </c>
    </row>
    <row r="350" spans="1:22" ht="11.25" x14ac:dyDescent="0.2">
      <c r="A350" s="65">
        <v>306514</v>
      </c>
      <c r="B350" s="65" t="s">
        <v>1234</v>
      </c>
      <c r="C350" s="66" t="s">
        <v>1235</v>
      </c>
      <c r="D350" s="66" t="s">
        <v>1235</v>
      </c>
      <c r="E350" s="67" t="s">
        <v>187</v>
      </c>
      <c r="F350" s="66" t="s">
        <v>188</v>
      </c>
      <c r="G350" s="67" t="s">
        <v>23</v>
      </c>
      <c r="H350" s="65" t="s">
        <v>22</v>
      </c>
      <c r="I350" s="67" t="s">
        <v>24</v>
      </c>
      <c r="J350" s="67" t="s">
        <v>189</v>
      </c>
      <c r="K350" s="67" t="s">
        <v>190</v>
      </c>
      <c r="L350" s="65" t="s">
        <v>36</v>
      </c>
      <c r="M350" s="68" t="s">
        <v>37</v>
      </c>
      <c r="N350" s="68" t="s">
        <v>29</v>
      </c>
      <c r="O350" s="68" t="s">
        <v>30</v>
      </c>
      <c r="P350" s="69"/>
      <c r="Q350" s="70"/>
      <c r="R350" s="70" t="s">
        <v>31</v>
      </c>
      <c r="S350" s="71">
        <v>45471.4597222222</v>
      </c>
      <c r="T350" s="72" t="s">
        <v>99</v>
      </c>
      <c r="U350" s="63">
        <v>45570.472916666702</v>
      </c>
      <c r="V350" s="64">
        <v>-32</v>
      </c>
    </row>
    <row r="351" spans="1:22" ht="11.25" x14ac:dyDescent="0.2">
      <c r="A351" s="65">
        <v>306516</v>
      </c>
      <c r="B351" s="65" t="s">
        <v>1236</v>
      </c>
      <c r="C351" s="66" t="s">
        <v>1237</v>
      </c>
      <c r="D351" s="66" t="s">
        <v>1237</v>
      </c>
      <c r="E351" s="67" t="s">
        <v>1238</v>
      </c>
      <c r="F351" s="66" t="s">
        <v>1239</v>
      </c>
      <c r="G351" s="67" t="s">
        <v>23</v>
      </c>
      <c r="H351" s="65" t="s">
        <v>22</v>
      </c>
      <c r="I351" s="67" t="s">
        <v>24</v>
      </c>
      <c r="J351" s="67" t="s">
        <v>1240</v>
      </c>
      <c r="K351" s="67" t="s">
        <v>1241</v>
      </c>
      <c r="L351" s="65" t="s">
        <v>36</v>
      </c>
      <c r="M351" s="68" t="s">
        <v>37</v>
      </c>
      <c r="N351" s="68" t="s">
        <v>57</v>
      </c>
      <c r="O351" s="68" t="s">
        <v>58</v>
      </c>
      <c r="P351" s="69"/>
      <c r="Q351" s="70"/>
      <c r="R351" s="70" t="s">
        <v>31</v>
      </c>
      <c r="S351" s="71">
        <v>45476.374305555597</v>
      </c>
      <c r="T351" s="72" t="s">
        <v>32</v>
      </c>
      <c r="U351" s="63">
        <v>45566.374305555597</v>
      </c>
      <c r="V351" s="64">
        <v>-28</v>
      </c>
    </row>
    <row r="352" spans="1:22" ht="11.25" x14ac:dyDescent="0.2">
      <c r="A352" s="65">
        <v>306525</v>
      </c>
      <c r="B352" s="65" t="s">
        <v>1244</v>
      </c>
      <c r="C352" s="66" t="s">
        <v>1245</v>
      </c>
      <c r="D352" s="66" t="s">
        <v>1245</v>
      </c>
      <c r="E352" s="67" t="s">
        <v>187</v>
      </c>
      <c r="F352" s="66" t="s">
        <v>188</v>
      </c>
      <c r="G352" s="67" t="s">
        <v>23</v>
      </c>
      <c r="H352" s="65" t="s">
        <v>22</v>
      </c>
      <c r="I352" s="67" t="s">
        <v>24</v>
      </c>
      <c r="J352" s="67" t="s">
        <v>189</v>
      </c>
      <c r="K352" s="67" t="s">
        <v>190</v>
      </c>
      <c r="L352" s="65" t="s">
        <v>36</v>
      </c>
      <c r="M352" s="68" t="s">
        <v>37</v>
      </c>
      <c r="N352" s="68" t="s">
        <v>29</v>
      </c>
      <c r="O352" s="68" t="s">
        <v>30</v>
      </c>
      <c r="P352" s="69"/>
      <c r="Q352" s="70"/>
      <c r="R352" s="70" t="s">
        <v>31</v>
      </c>
      <c r="S352" s="71">
        <v>45471.472222222197</v>
      </c>
      <c r="T352" s="72" t="s">
        <v>99</v>
      </c>
      <c r="U352" s="63">
        <v>45570.472916666702</v>
      </c>
      <c r="V352" s="64">
        <v>-32</v>
      </c>
    </row>
    <row r="353" spans="1:22" ht="11.25" x14ac:dyDescent="0.2">
      <c r="A353" s="65">
        <v>306526</v>
      </c>
      <c r="B353" s="65" t="s">
        <v>1246</v>
      </c>
      <c r="C353" s="66" t="s">
        <v>1247</v>
      </c>
      <c r="D353" s="66" t="s">
        <v>1247</v>
      </c>
      <c r="E353" s="67" t="s">
        <v>1248</v>
      </c>
      <c r="F353" s="66" t="s">
        <v>1249</v>
      </c>
      <c r="G353" s="67" t="s">
        <v>23</v>
      </c>
      <c r="H353" s="65" t="s">
        <v>81</v>
      </c>
      <c r="I353" s="67" t="s">
        <v>82</v>
      </c>
      <c r="J353" s="67" t="s">
        <v>121</v>
      </c>
      <c r="K353" s="67" t="s">
        <v>122</v>
      </c>
      <c r="L353" s="65" t="s">
        <v>36</v>
      </c>
      <c r="M353" s="68" t="s">
        <v>37</v>
      </c>
      <c r="N353" s="68" t="s">
        <v>201</v>
      </c>
      <c r="O353" s="68" t="s">
        <v>202</v>
      </c>
      <c r="P353" s="69">
        <v>45523.409722222197</v>
      </c>
      <c r="Q353" s="70"/>
      <c r="R353" s="70" t="s">
        <v>31</v>
      </c>
      <c r="S353" s="71">
        <v>45476.448611111096</v>
      </c>
      <c r="T353" s="72" t="s">
        <v>80</v>
      </c>
      <c r="U353" s="63">
        <v>45570.472916666702</v>
      </c>
      <c r="V353" s="64">
        <v>-32</v>
      </c>
    </row>
    <row r="354" spans="1:22" ht="11.25" x14ac:dyDescent="0.2">
      <c r="A354" s="65">
        <v>306527</v>
      </c>
      <c r="B354" s="65" t="s">
        <v>1250</v>
      </c>
      <c r="C354" s="66" t="s">
        <v>1251</v>
      </c>
      <c r="D354" s="66" t="s">
        <v>1251</v>
      </c>
      <c r="E354" s="67" t="s">
        <v>1248</v>
      </c>
      <c r="F354" s="66" t="s">
        <v>1249</v>
      </c>
      <c r="G354" s="67" t="s">
        <v>23</v>
      </c>
      <c r="H354" s="65" t="s">
        <v>179</v>
      </c>
      <c r="I354" s="67" t="s">
        <v>180</v>
      </c>
      <c r="J354" s="67" t="s">
        <v>121</v>
      </c>
      <c r="K354" s="67" t="s">
        <v>122</v>
      </c>
      <c r="L354" s="65" t="s">
        <v>36</v>
      </c>
      <c r="M354" s="68" t="s">
        <v>37</v>
      </c>
      <c r="N354" s="68" t="s">
        <v>201</v>
      </c>
      <c r="O354" s="68" t="s">
        <v>202</v>
      </c>
      <c r="P354" s="69"/>
      <c r="Q354" s="70"/>
      <c r="R354" s="70" t="s">
        <v>31</v>
      </c>
      <c r="S354" s="71">
        <v>45476.45</v>
      </c>
      <c r="T354" s="72" t="s">
        <v>80</v>
      </c>
      <c r="U354" s="63">
        <v>45566.45</v>
      </c>
      <c r="V354" s="64">
        <v>-28</v>
      </c>
    </row>
    <row r="355" spans="1:22" ht="11.25" x14ac:dyDescent="0.2">
      <c r="A355" s="65">
        <v>306528</v>
      </c>
      <c r="B355" s="65" t="s">
        <v>1252</v>
      </c>
      <c r="C355" s="66" t="s">
        <v>1253</v>
      </c>
      <c r="D355" s="66" t="s">
        <v>1253</v>
      </c>
      <c r="E355" s="67" t="s">
        <v>223</v>
      </c>
      <c r="F355" s="66" t="s">
        <v>224</v>
      </c>
      <c r="G355" s="67" t="s">
        <v>23</v>
      </c>
      <c r="H355" s="65" t="s">
        <v>179</v>
      </c>
      <c r="I355" s="67" t="s">
        <v>180</v>
      </c>
      <c r="J355" s="67" t="s">
        <v>618</v>
      </c>
      <c r="K355" s="67" t="s">
        <v>619</v>
      </c>
      <c r="L355" s="65" t="s">
        <v>36</v>
      </c>
      <c r="M355" s="68" t="s">
        <v>37</v>
      </c>
      <c r="N355" s="68" t="s">
        <v>51</v>
      </c>
      <c r="O355" s="68" t="s">
        <v>52</v>
      </c>
      <c r="P355" s="69"/>
      <c r="Q355" s="70"/>
      <c r="R355" s="70" t="s">
        <v>47</v>
      </c>
      <c r="S355" s="71">
        <v>45476.504861111098</v>
      </c>
      <c r="T355" s="72" t="s">
        <v>135</v>
      </c>
      <c r="U355" s="63">
        <v>45626.504861111098</v>
      </c>
      <c r="V355" s="64">
        <v>-88</v>
      </c>
    </row>
    <row r="356" spans="1:22" ht="11.25" x14ac:dyDescent="0.2">
      <c r="A356" s="65">
        <v>306531</v>
      </c>
      <c r="B356" s="65" t="s">
        <v>1254</v>
      </c>
      <c r="C356" s="66" t="s">
        <v>1255</v>
      </c>
      <c r="D356" s="66" t="s">
        <v>1255</v>
      </c>
      <c r="E356" s="67" t="s">
        <v>1256</v>
      </c>
      <c r="F356" s="66" t="s">
        <v>1257</v>
      </c>
      <c r="G356" s="67" t="s">
        <v>23</v>
      </c>
      <c r="H356" s="65" t="s">
        <v>49</v>
      </c>
      <c r="I356" s="67" t="s">
        <v>50</v>
      </c>
      <c r="J356" s="67" t="s">
        <v>114</v>
      </c>
      <c r="K356" s="67" t="s">
        <v>115</v>
      </c>
      <c r="L356" s="65" t="s">
        <v>36</v>
      </c>
      <c r="M356" s="68" t="s">
        <v>37</v>
      </c>
      <c r="N356" s="68" t="s">
        <v>83</v>
      </c>
      <c r="O356" s="68" t="s">
        <v>84</v>
      </c>
      <c r="P356" s="69">
        <v>45520.4375</v>
      </c>
      <c r="Q356" s="70"/>
      <c r="R356" s="70" t="s">
        <v>31</v>
      </c>
      <c r="S356" s="71">
        <v>45468.460416666698</v>
      </c>
      <c r="T356" s="72" t="s">
        <v>116</v>
      </c>
      <c r="U356" s="63">
        <v>45570.472916666702</v>
      </c>
      <c r="V356" s="64">
        <v>-32</v>
      </c>
    </row>
    <row r="357" spans="1:22" ht="11.25" x14ac:dyDescent="0.2">
      <c r="A357" s="65">
        <v>306533</v>
      </c>
      <c r="B357" s="65" t="s">
        <v>1258</v>
      </c>
      <c r="C357" s="66" t="s">
        <v>1259</v>
      </c>
      <c r="D357" s="66" t="s">
        <v>1259</v>
      </c>
      <c r="E357" s="67" t="s">
        <v>101</v>
      </c>
      <c r="F357" s="66" t="s">
        <v>102</v>
      </c>
      <c r="G357" s="67" t="s">
        <v>23</v>
      </c>
      <c r="H357" s="65" t="s">
        <v>34</v>
      </c>
      <c r="I357" s="67" t="s">
        <v>35</v>
      </c>
      <c r="J357" s="67" t="s">
        <v>121</v>
      </c>
      <c r="K357" s="67" t="s">
        <v>122</v>
      </c>
      <c r="L357" s="65" t="s">
        <v>36</v>
      </c>
      <c r="M357" s="68" t="s">
        <v>37</v>
      </c>
      <c r="N357" s="68" t="s">
        <v>29</v>
      </c>
      <c r="O357" s="68" t="s">
        <v>30</v>
      </c>
      <c r="P357" s="69">
        <v>45482.399305555598</v>
      </c>
      <c r="Q357" s="70"/>
      <c r="R357" s="70" t="s">
        <v>31</v>
      </c>
      <c r="S357" s="71">
        <v>45469.364583333299</v>
      </c>
      <c r="T357" s="72" t="s">
        <v>80</v>
      </c>
      <c r="U357" s="63">
        <v>45570.472916666702</v>
      </c>
      <c r="V357" s="64">
        <v>-32</v>
      </c>
    </row>
    <row r="358" spans="1:22" ht="11.25" x14ac:dyDescent="0.2">
      <c r="A358" s="65">
        <v>306535</v>
      </c>
      <c r="B358" s="65" t="s">
        <v>1260</v>
      </c>
      <c r="C358" s="66" t="s">
        <v>1261</v>
      </c>
      <c r="D358" s="66" t="s">
        <v>1261</v>
      </c>
      <c r="E358" s="67" t="s">
        <v>86</v>
      </c>
      <c r="F358" s="66" t="s">
        <v>87</v>
      </c>
      <c r="G358" s="67" t="s">
        <v>23</v>
      </c>
      <c r="H358" s="65" t="s">
        <v>22</v>
      </c>
      <c r="I358" s="67" t="s">
        <v>24</v>
      </c>
      <c r="J358" s="67" t="s">
        <v>509</v>
      </c>
      <c r="K358" s="67" t="s">
        <v>510</v>
      </c>
      <c r="L358" s="65" t="s">
        <v>36</v>
      </c>
      <c r="M358" s="68" t="s">
        <v>37</v>
      </c>
      <c r="N358" s="68" t="s">
        <v>29</v>
      </c>
      <c r="O358" s="68" t="s">
        <v>30</v>
      </c>
      <c r="P358" s="69"/>
      <c r="Q358" s="70"/>
      <c r="R358" s="70" t="s">
        <v>31</v>
      </c>
      <c r="S358" s="71">
        <v>45398.279166666704</v>
      </c>
      <c r="T358" s="72" t="s">
        <v>85</v>
      </c>
      <c r="U358" s="63">
        <v>45570.472916666702</v>
      </c>
      <c r="V358" s="64">
        <v>-32</v>
      </c>
    </row>
    <row r="359" spans="1:22" ht="11.25" x14ac:dyDescent="0.2">
      <c r="A359" s="65">
        <v>306536</v>
      </c>
      <c r="B359" s="65" t="s">
        <v>1262</v>
      </c>
      <c r="C359" s="66" t="s">
        <v>1263</v>
      </c>
      <c r="D359" s="66" t="s">
        <v>1263</v>
      </c>
      <c r="E359" s="67" t="s">
        <v>86</v>
      </c>
      <c r="F359" s="66" t="s">
        <v>87</v>
      </c>
      <c r="G359" s="67" t="s">
        <v>23</v>
      </c>
      <c r="H359" s="65" t="s">
        <v>22</v>
      </c>
      <c r="I359" s="67" t="s">
        <v>24</v>
      </c>
      <c r="J359" s="67" t="s">
        <v>509</v>
      </c>
      <c r="K359" s="67" t="s">
        <v>510</v>
      </c>
      <c r="L359" s="65" t="s">
        <v>36</v>
      </c>
      <c r="M359" s="68" t="s">
        <v>37</v>
      </c>
      <c r="N359" s="68" t="s">
        <v>29</v>
      </c>
      <c r="O359" s="68" t="s">
        <v>30</v>
      </c>
      <c r="P359" s="69"/>
      <c r="Q359" s="70"/>
      <c r="R359" s="70" t="s">
        <v>31</v>
      </c>
      <c r="S359" s="71">
        <v>45398.285416666702</v>
      </c>
      <c r="T359" s="72" t="s">
        <v>85</v>
      </c>
      <c r="U359" s="63">
        <v>45570.472916666702</v>
      </c>
      <c r="V359" s="64">
        <v>-32</v>
      </c>
    </row>
    <row r="360" spans="1:22" ht="11.25" x14ac:dyDescent="0.2">
      <c r="A360" s="65">
        <v>306538</v>
      </c>
      <c r="B360" s="65" t="s">
        <v>1264</v>
      </c>
      <c r="C360" s="66" t="s">
        <v>1265</v>
      </c>
      <c r="D360" s="66" t="s">
        <v>1265</v>
      </c>
      <c r="E360" s="67" t="s">
        <v>86</v>
      </c>
      <c r="F360" s="66" t="s">
        <v>87</v>
      </c>
      <c r="G360" s="67" t="s">
        <v>23</v>
      </c>
      <c r="H360" s="65" t="s">
        <v>22</v>
      </c>
      <c r="I360" s="67" t="s">
        <v>24</v>
      </c>
      <c r="J360" s="67" t="s">
        <v>509</v>
      </c>
      <c r="K360" s="67" t="s">
        <v>510</v>
      </c>
      <c r="L360" s="65" t="s">
        <v>36</v>
      </c>
      <c r="M360" s="68" t="s">
        <v>37</v>
      </c>
      <c r="N360" s="68" t="s">
        <v>29</v>
      </c>
      <c r="O360" s="68" t="s">
        <v>30</v>
      </c>
      <c r="P360" s="69"/>
      <c r="Q360" s="70"/>
      <c r="R360" s="70" t="s">
        <v>31</v>
      </c>
      <c r="S360" s="71">
        <v>45398.313888888901</v>
      </c>
      <c r="T360" s="72" t="s">
        <v>85</v>
      </c>
      <c r="U360" s="63">
        <v>45570.472916666702</v>
      </c>
      <c r="V360" s="64">
        <v>-32</v>
      </c>
    </row>
    <row r="361" spans="1:22" ht="11.25" x14ac:dyDescent="0.2">
      <c r="A361" s="65">
        <v>306542</v>
      </c>
      <c r="B361" s="65" t="s">
        <v>1266</v>
      </c>
      <c r="C361" s="66" t="s">
        <v>1267</v>
      </c>
      <c r="D361" s="66" t="s">
        <v>1267</v>
      </c>
      <c r="E361" s="67" t="s">
        <v>86</v>
      </c>
      <c r="F361" s="66" t="s">
        <v>87</v>
      </c>
      <c r="G361" s="67" t="s">
        <v>23</v>
      </c>
      <c r="H361" s="65" t="s">
        <v>22</v>
      </c>
      <c r="I361" s="67" t="s">
        <v>24</v>
      </c>
      <c r="J361" s="67" t="s">
        <v>509</v>
      </c>
      <c r="K361" s="67" t="s">
        <v>510</v>
      </c>
      <c r="L361" s="65" t="s">
        <v>36</v>
      </c>
      <c r="M361" s="68" t="s">
        <v>37</v>
      </c>
      <c r="N361" s="68" t="s">
        <v>29</v>
      </c>
      <c r="O361" s="68" t="s">
        <v>30</v>
      </c>
      <c r="P361" s="69"/>
      <c r="Q361" s="70"/>
      <c r="R361" s="70" t="s">
        <v>31</v>
      </c>
      <c r="S361" s="71">
        <v>45397.521527777797</v>
      </c>
      <c r="T361" s="72" t="s">
        <v>85</v>
      </c>
      <c r="U361" s="63">
        <v>45570.472916666702</v>
      </c>
      <c r="V361" s="64">
        <v>-32</v>
      </c>
    </row>
    <row r="362" spans="1:22" ht="11.25" x14ac:dyDescent="0.2">
      <c r="A362" s="65">
        <v>306546</v>
      </c>
      <c r="B362" s="65" t="s">
        <v>1268</v>
      </c>
      <c r="C362" s="66" t="s">
        <v>1269</v>
      </c>
      <c r="D362" s="66" t="s">
        <v>1269</v>
      </c>
      <c r="E362" s="67" t="s">
        <v>1270</v>
      </c>
      <c r="F362" s="66" t="s">
        <v>1271</v>
      </c>
      <c r="G362" s="67" t="s">
        <v>23</v>
      </c>
      <c r="H362" s="65" t="s">
        <v>34</v>
      </c>
      <c r="I362" s="67" t="s">
        <v>35</v>
      </c>
      <c r="J362" s="67" t="s">
        <v>1272</v>
      </c>
      <c r="K362" s="67" t="s">
        <v>1273</v>
      </c>
      <c r="L362" s="65" t="s">
        <v>36</v>
      </c>
      <c r="M362" s="68" t="s">
        <v>37</v>
      </c>
      <c r="N362" s="68" t="s">
        <v>57</v>
      </c>
      <c r="O362" s="68" t="s">
        <v>58</v>
      </c>
      <c r="P362" s="69">
        <v>45490.433333333298</v>
      </c>
      <c r="Q362" s="70"/>
      <c r="R362" s="70" t="s">
        <v>47</v>
      </c>
      <c r="S362" s="71">
        <v>45042.645138888904</v>
      </c>
      <c r="T362" s="72" t="s">
        <v>1274</v>
      </c>
      <c r="U362" s="63">
        <v>45630.472916666702</v>
      </c>
      <c r="V362" s="64">
        <v>-92</v>
      </c>
    </row>
    <row r="363" spans="1:22" ht="11.25" x14ac:dyDescent="0.2">
      <c r="A363" s="65">
        <v>306547</v>
      </c>
      <c r="B363" s="65" t="s">
        <v>1275</v>
      </c>
      <c r="C363" s="66" t="s">
        <v>1276</v>
      </c>
      <c r="D363" s="66" t="s">
        <v>1276</v>
      </c>
      <c r="E363" s="67" t="s">
        <v>1277</v>
      </c>
      <c r="F363" s="66" t="s">
        <v>1278</v>
      </c>
      <c r="G363" s="67" t="s">
        <v>48</v>
      </c>
      <c r="H363" s="65" t="s">
        <v>179</v>
      </c>
      <c r="I363" s="67" t="s">
        <v>180</v>
      </c>
      <c r="J363" s="67" t="s">
        <v>1279</v>
      </c>
      <c r="K363" s="67" t="s">
        <v>1280</v>
      </c>
      <c r="L363" s="65" t="s">
        <v>36</v>
      </c>
      <c r="M363" s="68" t="s">
        <v>37</v>
      </c>
      <c r="N363" s="68" t="s">
        <v>29</v>
      </c>
      <c r="O363" s="68" t="s">
        <v>30</v>
      </c>
      <c r="P363" s="69"/>
      <c r="Q363" s="70"/>
      <c r="R363" s="70" t="s">
        <v>31</v>
      </c>
      <c r="S363" s="71">
        <v>45478.316666666702</v>
      </c>
      <c r="T363" s="72" t="s">
        <v>1281</v>
      </c>
      <c r="U363" s="63">
        <v>45568.316666666702</v>
      </c>
      <c r="V363" s="64">
        <v>-30</v>
      </c>
    </row>
    <row r="364" spans="1:22" ht="11.25" x14ac:dyDescent="0.2">
      <c r="A364" s="65">
        <v>306568</v>
      </c>
      <c r="B364" s="65" t="s">
        <v>1284</v>
      </c>
      <c r="C364" s="66" t="s">
        <v>1285</v>
      </c>
      <c r="D364" s="66" t="s">
        <v>1285</v>
      </c>
      <c r="E364" s="67" t="s">
        <v>42</v>
      </c>
      <c r="F364" s="66" t="s">
        <v>43</v>
      </c>
      <c r="G364" s="67" t="s">
        <v>23</v>
      </c>
      <c r="H364" s="65" t="s">
        <v>49</v>
      </c>
      <c r="I364" s="67" t="s">
        <v>50</v>
      </c>
      <c r="J364" s="67" t="s">
        <v>217</v>
      </c>
      <c r="K364" s="67" t="s">
        <v>218</v>
      </c>
      <c r="L364" s="65" t="s">
        <v>36</v>
      </c>
      <c r="M364" s="68" t="s">
        <v>37</v>
      </c>
      <c r="N364" s="68" t="s">
        <v>51</v>
      </c>
      <c r="O364" s="68" t="s">
        <v>52</v>
      </c>
      <c r="P364" s="69">
        <v>45534.521527777797</v>
      </c>
      <c r="Q364" s="70"/>
      <c r="R364" s="70" t="s">
        <v>31</v>
      </c>
      <c r="S364" s="71">
        <v>45484.528472222199</v>
      </c>
      <c r="T364" s="72" t="s">
        <v>46</v>
      </c>
      <c r="U364" s="63">
        <v>45575.542361111096</v>
      </c>
      <c r="V364" s="64">
        <v>-37</v>
      </c>
    </row>
    <row r="365" spans="1:22" ht="11.25" x14ac:dyDescent="0.2">
      <c r="A365" s="65">
        <v>306569</v>
      </c>
      <c r="B365" s="65" t="s">
        <v>1286</v>
      </c>
      <c r="C365" s="66" t="s">
        <v>1287</v>
      </c>
      <c r="D365" s="66" t="s">
        <v>1287</v>
      </c>
      <c r="E365" s="67" t="s">
        <v>187</v>
      </c>
      <c r="F365" s="66" t="s">
        <v>188</v>
      </c>
      <c r="G365" s="67" t="s">
        <v>23</v>
      </c>
      <c r="H365" s="65" t="s">
        <v>22</v>
      </c>
      <c r="I365" s="67" t="s">
        <v>24</v>
      </c>
      <c r="J365" s="67" t="s">
        <v>1288</v>
      </c>
      <c r="K365" s="67" t="s">
        <v>218</v>
      </c>
      <c r="L365" s="65" t="s">
        <v>36</v>
      </c>
      <c r="M365" s="68" t="s">
        <v>37</v>
      </c>
      <c r="N365" s="68" t="s">
        <v>57</v>
      </c>
      <c r="O365" s="68" t="s">
        <v>58</v>
      </c>
      <c r="P365" s="69"/>
      <c r="Q365" s="70"/>
      <c r="R365" s="70" t="s">
        <v>31</v>
      </c>
      <c r="S365" s="71">
        <v>45482.479166666701</v>
      </c>
      <c r="T365" s="72" t="s">
        <v>99</v>
      </c>
      <c r="U365" s="63">
        <v>45575.542361111096</v>
      </c>
      <c r="V365" s="64">
        <v>-37</v>
      </c>
    </row>
    <row r="366" spans="1:22" ht="11.25" x14ac:dyDescent="0.2">
      <c r="A366" s="65">
        <v>306573</v>
      </c>
      <c r="B366" s="65" t="s">
        <v>1291</v>
      </c>
      <c r="C366" s="66" t="s">
        <v>1292</v>
      </c>
      <c r="D366" s="66" t="s">
        <v>1292</v>
      </c>
      <c r="E366" s="67" t="s">
        <v>183</v>
      </c>
      <c r="F366" s="66" t="s">
        <v>184</v>
      </c>
      <c r="G366" s="67" t="s">
        <v>23</v>
      </c>
      <c r="H366" s="65" t="s">
        <v>179</v>
      </c>
      <c r="I366" s="67" t="s">
        <v>180</v>
      </c>
      <c r="J366" s="67" t="s">
        <v>66</v>
      </c>
      <c r="K366" s="67" t="s">
        <v>67</v>
      </c>
      <c r="L366" s="65" t="s">
        <v>36</v>
      </c>
      <c r="M366" s="68" t="s">
        <v>37</v>
      </c>
      <c r="N366" s="68" t="s">
        <v>201</v>
      </c>
      <c r="O366" s="68" t="s">
        <v>202</v>
      </c>
      <c r="P366" s="69"/>
      <c r="Q366" s="70"/>
      <c r="R366" s="70" t="s">
        <v>31</v>
      </c>
      <c r="S366" s="71">
        <v>45454.543749999997</v>
      </c>
      <c r="T366" s="72" t="s">
        <v>161</v>
      </c>
      <c r="U366" s="63">
        <v>45544.543749999997</v>
      </c>
      <c r="V366" s="64">
        <v>-6</v>
      </c>
    </row>
    <row r="367" spans="1:22" ht="11.25" x14ac:dyDescent="0.2">
      <c r="A367" s="65">
        <v>306574</v>
      </c>
      <c r="B367" s="65" t="s">
        <v>1293</v>
      </c>
      <c r="C367" s="66" t="s">
        <v>1294</v>
      </c>
      <c r="D367" s="66" t="s">
        <v>1294</v>
      </c>
      <c r="E367" s="67" t="s">
        <v>63</v>
      </c>
      <c r="F367" s="66" t="s">
        <v>64</v>
      </c>
      <c r="G367" s="67" t="s">
        <v>33</v>
      </c>
      <c r="H367" s="65" t="s">
        <v>179</v>
      </c>
      <c r="I367" s="67" t="s">
        <v>180</v>
      </c>
      <c r="J367" s="67" t="s">
        <v>325</v>
      </c>
      <c r="K367" s="67" t="s">
        <v>326</v>
      </c>
      <c r="L367" s="65" t="s">
        <v>36</v>
      </c>
      <c r="M367" s="68" t="s">
        <v>37</v>
      </c>
      <c r="N367" s="68" t="s">
        <v>38</v>
      </c>
      <c r="O367" s="68" t="s">
        <v>39</v>
      </c>
      <c r="P367" s="69"/>
      <c r="Q367" s="70"/>
      <c r="R367" s="70" t="s">
        <v>31</v>
      </c>
      <c r="S367" s="71">
        <v>45482.413194444402</v>
      </c>
      <c r="T367" s="72" t="s">
        <v>65</v>
      </c>
      <c r="U367" s="63">
        <v>45572.413194444402</v>
      </c>
      <c r="V367" s="64">
        <v>-34</v>
      </c>
    </row>
    <row r="368" spans="1:22" ht="11.25" x14ac:dyDescent="0.2">
      <c r="A368" s="65">
        <v>306575</v>
      </c>
      <c r="B368" s="65" t="s">
        <v>1295</v>
      </c>
      <c r="C368" s="66" t="s">
        <v>1296</v>
      </c>
      <c r="D368" s="66" t="s">
        <v>1296</v>
      </c>
      <c r="E368" s="67" t="s">
        <v>1282</v>
      </c>
      <c r="F368" s="66" t="s">
        <v>1283</v>
      </c>
      <c r="G368" s="67" t="s">
        <v>33</v>
      </c>
      <c r="H368" s="65" t="s">
        <v>179</v>
      </c>
      <c r="I368" s="67" t="s">
        <v>180</v>
      </c>
      <c r="J368" s="67" t="s">
        <v>66</v>
      </c>
      <c r="K368" s="67" t="s">
        <v>67</v>
      </c>
      <c r="L368" s="65" t="s">
        <v>36</v>
      </c>
      <c r="M368" s="68" t="s">
        <v>37</v>
      </c>
      <c r="N368" s="68" t="s">
        <v>83</v>
      </c>
      <c r="O368" s="68" t="s">
        <v>84</v>
      </c>
      <c r="P368" s="69"/>
      <c r="Q368" s="70"/>
      <c r="R368" s="70" t="s">
        <v>31</v>
      </c>
      <c r="S368" s="71">
        <v>45483.5444444444</v>
      </c>
      <c r="T368" s="72" t="s">
        <v>132</v>
      </c>
      <c r="U368" s="63">
        <v>45573.5444444444</v>
      </c>
      <c r="V368" s="64">
        <v>-35</v>
      </c>
    </row>
    <row r="369" spans="1:22" ht="11.25" x14ac:dyDescent="0.2">
      <c r="A369" s="65">
        <v>306576</v>
      </c>
      <c r="B369" s="65" t="s">
        <v>1297</v>
      </c>
      <c r="C369" s="66" t="s">
        <v>1298</v>
      </c>
      <c r="D369" s="66" t="s">
        <v>1299</v>
      </c>
      <c r="E369" s="67" t="s">
        <v>1282</v>
      </c>
      <c r="F369" s="66" t="s">
        <v>1283</v>
      </c>
      <c r="G369" s="67" t="s">
        <v>33</v>
      </c>
      <c r="H369" s="65" t="s">
        <v>179</v>
      </c>
      <c r="I369" s="67" t="s">
        <v>180</v>
      </c>
      <c r="J369" s="67" t="s">
        <v>66</v>
      </c>
      <c r="K369" s="67" t="s">
        <v>67</v>
      </c>
      <c r="L369" s="65" t="s">
        <v>36</v>
      </c>
      <c r="M369" s="68" t="s">
        <v>37</v>
      </c>
      <c r="N369" s="68" t="s">
        <v>29</v>
      </c>
      <c r="O369" s="68" t="s">
        <v>30</v>
      </c>
      <c r="P369" s="69"/>
      <c r="Q369" s="70"/>
      <c r="R369" s="70" t="s">
        <v>31</v>
      </c>
      <c r="S369" s="71">
        <v>45483.545833333301</v>
      </c>
      <c r="T369" s="72" t="s">
        <v>132</v>
      </c>
      <c r="U369" s="63">
        <v>45573.545833333301</v>
      </c>
      <c r="V369" s="64">
        <v>-35</v>
      </c>
    </row>
    <row r="370" spans="1:22" ht="11.25" x14ac:dyDescent="0.2">
      <c r="A370" s="65">
        <v>306579</v>
      </c>
      <c r="B370" s="65" t="s">
        <v>1300</v>
      </c>
      <c r="C370" s="66" t="s">
        <v>1301</v>
      </c>
      <c r="D370" s="66" t="s">
        <v>1301</v>
      </c>
      <c r="E370" s="67" t="s">
        <v>1302</v>
      </c>
      <c r="F370" s="66" t="s">
        <v>1303</v>
      </c>
      <c r="G370" s="67" t="s">
        <v>33</v>
      </c>
      <c r="H370" s="65" t="s">
        <v>53</v>
      </c>
      <c r="I370" s="67" t="s">
        <v>54</v>
      </c>
      <c r="J370" s="67" t="s">
        <v>66</v>
      </c>
      <c r="K370" s="67" t="s">
        <v>67</v>
      </c>
      <c r="L370" s="65" t="s">
        <v>36</v>
      </c>
      <c r="M370" s="68" t="s">
        <v>37</v>
      </c>
      <c r="N370" s="68" t="s">
        <v>57</v>
      </c>
      <c r="O370" s="68" t="s">
        <v>58</v>
      </c>
      <c r="P370" s="69">
        <v>45523.411111111098</v>
      </c>
      <c r="Q370" s="70"/>
      <c r="R370" s="70" t="s">
        <v>31</v>
      </c>
      <c r="S370" s="71">
        <v>45448.693055555603</v>
      </c>
      <c r="T370" s="72" t="s">
        <v>969</v>
      </c>
      <c r="U370" s="63">
        <v>45575.542361111096</v>
      </c>
      <c r="V370" s="64">
        <v>-37</v>
      </c>
    </row>
    <row r="371" spans="1:22" ht="11.25" x14ac:dyDescent="0.2">
      <c r="A371" s="65">
        <v>306585</v>
      </c>
      <c r="B371" s="65" t="s">
        <v>1304</v>
      </c>
      <c r="C371" s="66" t="s">
        <v>1305</v>
      </c>
      <c r="D371" s="66" t="s">
        <v>1306</v>
      </c>
      <c r="E371" s="67" t="s">
        <v>92</v>
      </c>
      <c r="F371" s="66" t="s">
        <v>93</v>
      </c>
      <c r="G371" s="67" t="s">
        <v>23</v>
      </c>
      <c r="H371" s="65" t="s">
        <v>49</v>
      </c>
      <c r="I371" s="67" t="s">
        <v>50</v>
      </c>
      <c r="J371" s="67" t="s">
        <v>1307</v>
      </c>
      <c r="K371" s="67" t="s">
        <v>1308</v>
      </c>
      <c r="L371" s="65" t="s">
        <v>36</v>
      </c>
      <c r="M371" s="68" t="s">
        <v>37</v>
      </c>
      <c r="N371" s="68" t="s">
        <v>29</v>
      </c>
      <c r="O371" s="68" t="s">
        <v>30</v>
      </c>
      <c r="P371" s="69">
        <v>45490.387499999997</v>
      </c>
      <c r="Q371" s="70"/>
      <c r="R371" s="70" t="s">
        <v>31</v>
      </c>
      <c r="S371" s="71">
        <v>45485.631944444402</v>
      </c>
      <c r="T371" s="72"/>
      <c r="U371" s="63">
        <v>45576.520138888904</v>
      </c>
      <c r="V371" s="64">
        <v>-38</v>
      </c>
    </row>
    <row r="372" spans="1:22" ht="11.25" x14ac:dyDescent="0.2">
      <c r="A372" s="65">
        <v>306595</v>
      </c>
      <c r="B372" s="65" t="s">
        <v>1414</v>
      </c>
      <c r="C372" s="66" t="s">
        <v>1415</v>
      </c>
      <c r="D372" s="66" t="s">
        <v>1416</v>
      </c>
      <c r="E372" s="67" t="s">
        <v>775</v>
      </c>
      <c r="F372" s="66" t="s">
        <v>776</v>
      </c>
      <c r="G372" s="67" t="s">
        <v>23</v>
      </c>
      <c r="H372" s="65" t="s">
        <v>22</v>
      </c>
      <c r="I372" s="67" t="s">
        <v>24</v>
      </c>
      <c r="J372" s="67" t="s">
        <v>119</v>
      </c>
      <c r="K372" s="67" t="s">
        <v>120</v>
      </c>
      <c r="L372" s="65" t="s">
        <v>36</v>
      </c>
      <c r="M372" s="68" t="s">
        <v>37</v>
      </c>
      <c r="N372" s="68" t="s">
        <v>29</v>
      </c>
      <c r="O372" s="68" t="s">
        <v>30</v>
      </c>
      <c r="P372" s="69">
        <v>45491.386805555601</v>
      </c>
      <c r="Q372" s="70"/>
      <c r="R372" s="70" t="s">
        <v>31</v>
      </c>
      <c r="S372" s="71">
        <v>45489.797916666699</v>
      </c>
      <c r="T372" s="72"/>
      <c r="U372" s="63">
        <v>45581.3840277778</v>
      </c>
      <c r="V372" s="64">
        <v>-43</v>
      </c>
    </row>
    <row r="373" spans="1:22" ht="11.25" x14ac:dyDescent="0.2">
      <c r="A373" s="65">
        <v>306597</v>
      </c>
      <c r="B373" s="65" t="s">
        <v>1417</v>
      </c>
      <c r="C373" s="66" t="s">
        <v>1418</v>
      </c>
      <c r="D373" s="66" t="s">
        <v>1418</v>
      </c>
      <c r="E373" s="67" t="s">
        <v>60</v>
      </c>
      <c r="F373" s="66" t="s">
        <v>61</v>
      </c>
      <c r="G373" s="67" t="s">
        <v>33</v>
      </c>
      <c r="H373" s="65" t="s">
        <v>179</v>
      </c>
      <c r="I373" s="67" t="s">
        <v>180</v>
      </c>
      <c r="J373" s="67" t="s">
        <v>594</v>
      </c>
      <c r="K373" s="67" t="s">
        <v>595</v>
      </c>
      <c r="L373" s="65" t="s">
        <v>36</v>
      </c>
      <c r="M373" s="68" t="s">
        <v>37</v>
      </c>
      <c r="N373" s="68" t="s">
        <v>83</v>
      </c>
      <c r="O373" s="68" t="s">
        <v>84</v>
      </c>
      <c r="P373" s="69"/>
      <c r="Q373" s="70"/>
      <c r="R373" s="70" t="s">
        <v>31</v>
      </c>
      <c r="S373" s="71">
        <v>45484.693055555603</v>
      </c>
      <c r="T373" s="72" t="s">
        <v>125</v>
      </c>
      <c r="U373" s="63">
        <v>45574.693055555603</v>
      </c>
      <c r="V373" s="64">
        <v>-36</v>
      </c>
    </row>
    <row r="374" spans="1:22" ht="11.25" x14ac:dyDescent="0.2">
      <c r="A374" s="65">
        <v>306598</v>
      </c>
      <c r="B374" s="65" t="s">
        <v>1419</v>
      </c>
      <c r="C374" s="66" t="s">
        <v>1420</v>
      </c>
      <c r="D374" s="66" t="s">
        <v>1420</v>
      </c>
      <c r="E374" s="67" t="s">
        <v>1421</v>
      </c>
      <c r="F374" s="66" t="s">
        <v>1422</v>
      </c>
      <c r="G374" s="67" t="s">
        <v>48</v>
      </c>
      <c r="H374" s="65" t="s">
        <v>34</v>
      </c>
      <c r="I374" s="67" t="s">
        <v>35</v>
      </c>
      <c r="J374" s="67" t="s">
        <v>71</v>
      </c>
      <c r="K374" s="67" t="s">
        <v>72</v>
      </c>
      <c r="L374" s="65" t="s">
        <v>36</v>
      </c>
      <c r="M374" s="68" t="s">
        <v>37</v>
      </c>
      <c r="N374" s="68" t="s">
        <v>29</v>
      </c>
      <c r="O374" s="68" t="s">
        <v>30</v>
      </c>
      <c r="P374" s="69">
        <v>45491.440277777801</v>
      </c>
      <c r="Q374" s="70"/>
      <c r="R374" s="70" t="s">
        <v>31</v>
      </c>
      <c r="S374" s="71">
        <v>45488.3256944444</v>
      </c>
      <c r="T374" s="72" t="s">
        <v>1423</v>
      </c>
      <c r="U374" s="63">
        <v>45581.438888888901</v>
      </c>
      <c r="V374" s="64">
        <v>-43</v>
      </c>
    </row>
    <row r="375" spans="1:22" ht="11.25" x14ac:dyDescent="0.2">
      <c r="A375" s="65">
        <v>306610</v>
      </c>
      <c r="B375" s="65" t="s">
        <v>1430</v>
      </c>
      <c r="C375" s="66" t="s">
        <v>1431</v>
      </c>
      <c r="D375" s="66" t="s">
        <v>1431</v>
      </c>
      <c r="E375" s="67" t="s">
        <v>574</v>
      </c>
      <c r="F375" s="66" t="s">
        <v>575</v>
      </c>
      <c r="G375" s="67" t="s">
        <v>222</v>
      </c>
      <c r="H375" s="65" t="s">
        <v>34</v>
      </c>
      <c r="I375" s="67" t="s">
        <v>35</v>
      </c>
      <c r="J375" s="67" t="s">
        <v>1217</v>
      </c>
      <c r="K375" s="67" t="s">
        <v>992</v>
      </c>
      <c r="L375" s="65" t="s">
        <v>27</v>
      </c>
      <c r="M375" s="68" t="s">
        <v>28</v>
      </c>
      <c r="N375" s="68" t="s">
        <v>83</v>
      </c>
      <c r="O375" s="68" t="s">
        <v>84</v>
      </c>
      <c r="P375" s="69">
        <v>45496.413888888899</v>
      </c>
      <c r="Q375" s="70"/>
      <c r="R375" s="70" t="s">
        <v>31</v>
      </c>
      <c r="S375" s="71">
        <v>45492.412499999999</v>
      </c>
      <c r="T375" s="72"/>
      <c r="U375" s="63">
        <v>45585.412499999999</v>
      </c>
      <c r="V375" s="64">
        <v>-47</v>
      </c>
    </row>
    <row r="376" spans="1:22" ht="11.25" x14ac:dyDescent="0.2">
      <c r="A376" s="65">
        <v>306621</v>
      </c>
      <c r="B376" s="65" t="s">
        <v>1432</v>
      </c>
      <c r="C376" s="66" t="s">
        <v>1433</v>
      </c>
      <c r="D376" s="66" t="s">
        <v>1434</v>
      </c>
      <c r="E376" s="67" t="s">
        <v>1435</v>
      </c>
      <c r="F376" s="66" t="s">
        <v>1436</v>
      </c>
      <c r="G376" s="67" t="s">
        <v>23</v>
      </c>
      <c r="H376" s="65" t="s">
        <v>22</v>
      </c>
      <c r="I376" s="67" t="s">
        <v>24</v>
      </c>
      <c r="J376" s="67" t="s">
        <v>507</v>
      </c>
      <c r="K376" s="67" t="s">
        <v>508</v>
      </c>
      <c r="L376" s="65" t="s">
        <v>36</v>
      </c>
      <c r="M376" s="68" t="s">
        <v>37</v>
      </c>
      <c r="N376" s="68" t="s">
        <v>29</v>
      </c>
      <c r="O376" s="68" t="s">
        <v>30</v>
      </c>
      <c r="P376" s="69">
        <v>45531.538888888899</v>
      </c>
      <c r="Q376" s="70"/>
      <c r="R376" s="70" t="s">
        <v>31</v>
      </c>
      <c r="S376" s="71">
        <v>45497.560416666704</v>
      </c>
      <c r="T376" s="72"/>
      <c r="U376" s="63">
        <v>45587.6694444444</v>
      </c>
      <c r="V376" s="64">
        <v>-49</v>
      </c>
    </row>
    <row r="377" spans="1:22" ht="11.25" x14ac:dyDescent="0.2">
      <c r="A377" s="65">
        <v>306623</v>
      </c>
      <c r="B377" s="65" t="s">
        <v>1437</v>
      </c>
      <c r="C377" s="66" t="s">
        <v>1438</v>
      </c>
      <c r="D377" s="66" t="s">
        <v>1439</v>
      </c>
      <c r="E377" s="67" t="s">
        <v>86</v>
      </c>
      <c r="F377" s="66" t="s">
        <v>87</v>
      </c>
      <c r="G377" s="67" t="s">
        <v>23</v>
      </c>
      <c r="H377" s="65" t="s">
        <v>22</v>
      </c>
      <c r="I377" s="67" t="s">
        <v>24</v>
      </c>
      <c r="J377" s="67" t="s">
        <v>509</v>
      </c>
      <c r="K377" s="67" t="s">
        <v>510</v>
      </c>
      <c r="L377" s="65" t="s">
        <v>36</v>
      </c>
      <c r="M377" s="68" t="s">
        <v>37</v>
      </c>
      <c r="N377" s="68" t="s">
        <v>83</v>
      </c>
      <c r="O377" s="68" t="s">
        <v>84</v>
      </c>
      <c r="P377" s="69"/>
      <c r="Q377" s="70"/>
      <c r="R377" s="70" t="s">
        <v>31</v>
      </c>
      <c r="S377" s="71">
        <v>45495.506249999999</v>
      </c>
      <c r="T377" s="72"/>
      <c r="U377" s="63">
        <v>45588.348611111098</v>
      </c>
      <c r="V377" s="64">
        <v>-50</v>
      </c>
    </row>
    <row r="378" spans="1:22" ht="11.25" x14ac:dyDescent="0.2">
      <c r="A378" s="65">
        <v>306627</v>
      </c>
      <c r="B378" s="65" t="s">
        <v>1440</v>
      </c>
      <c r="C378" s="66" t="s">
        <v>1441</v>
      </c>
      <c r="D378" s="66" t="s">
        <v>1442</v>
      </c>
      <c r="E378" s="67" t="s">
        <v>141</v>
      </c>
      <c r="F378" s="66" t="s">
        <v>142</v>
      </c>
      <c r="G378" s="67" t="s">
        <v>23</v>
      </c>
      <c r="H378" s="65" t="s">
        <v>179</v>
      </c>
      <c r="I378" s="67" t="s">
        <v>180</v>
      </c>
      <c r="J378" s="67" t="s">
        <v>226</v>
      </c>
      <c r="K378" s="67" t="s">
        <v>227</v>
      </c>
      <c r="L378" s="65" t="s">
        <v>36</v>
      </c>
      <c r="M378" s="68" t="s">
        <v>37</v>
      </c>
      <c r="N378" s="68" t="s">
        <v>83</v>
      </c>
      <c r="O378" s="68" t="s">
        <v>84</v>
      </c>
      <c r="P378" s="69"/>
      <c r="Q378" s="70"/>
      <c r="R378" s="70" t="s">
        <v>31</v>
      </c>
      <c r="S378" s="71">
        <v>45497.699305555601</v>
      </c>
      <c r="T378" s="72"/>
      <c r="U378" s="63">
        <v>45588.359722222202</v>
      </c>
      <c r="V378" s="64">
        <v>-50</v>
      </c>
    </row>
    <row r="379" spans="1:22" ht="11.25" x14ac:dyDescent="0.2">
      <c r="A379" s="65">
        <v>306628</v>
      </c>
      <c r="B379" s="65" t="s">
        <v>1443</v>
      </c>
      <c r="C379" s="66" t="s">
        <v>1444</v>
      </c>
      <c r="D379" s="66" t="s">
        <v>1445</v>
      </c>
      <c r="E379" s="67" t="s">
        <v>136</v>
      </c>
      <c r="F379" s="66" t="s">
        <v>137</v>
      </c>
      <c r="G379" s="67" t="s">
        <v>23</v>
      </c>
      <c r="H379" s="65" t="s">
        <v>179</v>
      </c>
      <c r="I379" s="67" t="s">
        <v>180</v>
      </c>
      <c r="J379" s="67" t="s">
        <v>226</v>
      </c>
      <c r="K379" s="67" t="s">
        <v>227</v>
      </c>
      <c r="L379" s="65" t="s">
        <v>36</v>
      </c>
      <c r="M379" s="68" t="s">
        <v>37</v>
      </c>
      <c r="N379" s="68" t="s">
        <v>83</v>
      </c>
      <c r="O379" s="68" t="s">
        <v>84</v>
      </c>
      <c r="P379" s="69"/>
      <c r="Q379" s="70"/>
      <c r="R379" s="70" t="s">
        <v>31</v>
      </c>
      <c r="S379" s="71">
        <v>45497.708333333299</v>
      </c>
      <c r="T379" s="72"/>
      <c r="U379" s="63">
        <v>45588.361111111102</v>
      </c>
      <c r="V379" s="64">
        <v>-50</v>
      </c>
    </row>
    <row r="380" spans="1:22" ht="11.25" x14ac:dyDescent="0.2">
      <c r="A380" s="65">
        <v>306630</v>
      </c>
      <c r="B380" s="65" t="s">
        <v>1446</v>
      </c>
      <c r="C380" s="66" t="s">
        <v>1447</v>
      </c>
      <c r="D380" s="66" t="s">
        <v>1448</v>
      </c>
      <c r="E380" s="67" t="s">
        <v>525</v>
      </c>
      <c r="F380" s="66" t="s">
        <v>526</v>
      </c>
      <c r="G380" s="67" t="s">
        <v>23</v>
      </c>
      <c r="H380" s="65" t="s">
        <v>34</v>
      </c>
      <c r="I380" s="67" t="s">
        <v>35</v>
      </c>
      <c r="J380" s="67" t="s">
        <v>989</v>
      </c>
      <c r="K380" s="67" t="s">
        <v>990</v>
      </c>
      <c r="L380" s="65" t="s">
        <v>36</v>
      </c>
      <c r="M380" s="68" t="s">
        <v>37</v>
      </c>
      <c r="N380" s="68" t="s">
        <v>29</v>
      </c>
      <c r="O380" s="68" t="s">
        <v>30</v>
      </c>
      <c r="P380" s="69">
        <v>45498.333333333299</v>
      </c>
      <c r="Q380" s="70"/>
      <c r="R380" s="70" t="s">
        <v>31</v>
      </c>
      <c r="S380" s="71">
        <v>45498.357638888898</v>
      </c>
      <c r="T380" s="72"/>
      <c r="U380" s="63">
        <v>45588.40625</v>
      </c>
      <c r="V380" s="64">
        <v>-50</v>
      </c>
    </row>
    <row r="381" spans="1:22" ht="11.25" x14ac:dyDescent="0.2">
      <c r="A381" s="65">
        <v>306636</v>
      </c>
      <c r="B381" s="65" t="s">
        <v>1449</v>
      </c>
      <c r="C381" s="66" t="s">
        <v>1450</v>
      </c>
      <c r="D381" s="66" t="s">
        <v>1451</v>
      </c>
      <c r="E381" s="67" t="s">
        <v>1011</v>
      </c>
      <c r="F381" s="66" t="s">
        <v>1012</v>
      </c>
      <c r="G381" s="67" t="s">
        <v>23</v>
      </c>
      <c r="H381" s="65" t="s">
        <v>34</v>
      </c>
      <c r="I381" s="67" t="s">
        <v>35</v>
      </c>
      <c r="J381" s="67" t="s">
        <v>121</v>
      </c>
      <c r="K381" s="67" t="s">
        <v>122</v>
      </c>
      <c r="L381" s="65" t="s">
        <v>36</v>
      </c>
      <c r="M381" s="68" t="s">
        <v>37</v>
      </c>
      <c r="N381" s="68" t="s">
        <v>29</v>
      </c>
      <c r="O381" s="68" t="s">
        <v>30</v>
      </c>
      <c r="P381" s="69">
        <v>45518.333333333299</v>
      </c>
      <c r="Q381" s="70"/>
      <c r="R381" s="70" t="s">
        <v>31</v>
      </c>
      <c r="S381" s="71">
        <v>45495.340972222199</v>
      </c>
      <c r="T381" s="72"/>
      <c r="U381" s="63">
        <v>45588.525000000001</v>
      </c>
      <c r="V381" s="64">
        <v>-50</v>
      </c>
    </row>
    <row r="382" spans="1:22" ht="11.25" x14ac:dyDescent="0.2">
      <c r="A382" s="65">
        <v>306649</v>
      </c>
      <c r="B382" s="65" t="s">
        <v>1475</v>
      </c>
      <c r="C382" s="66" t="s">
        <v>1476</v>
      </c>
      <c r="D382" s="66" t="s">
        <v>1476</v>
      </c>
      <c r="E382" s="67" t="s">
        <v>574</v>
      </c>
      <c r="F382" s="66" t="s">
        <v>575</v>
      </c>
      <c r="G382" s="67" t="s">
        <v>222</v>
      </c>
      <c r="H382" s="65" t="s">
        <v>467</v>
      </c>
      <c r="I382" s="67" t="s">
        <v>468</v>
      </c>
      <c r="J382" s="67" t="s">
        <v>1217</v>
      </c>
      <c r="K382" s="67" t="s">
        <v>992</v>
      </c>
      <c r="L382" s="65" t="s">
        <v>27</v>
      </c>
      <c r="M382" s="68" t="s">
        <v>28</v>
      </c>
      <c r="N382" s="68" t="s">
        <v>83</v>
      </c>
      <c r="O382" s="68" t="s">
        <v>84</v>
      </c>
      <c r="P382" s="69">
        <v>45525.4284722222</v>
      </c>
      <c r="Q382" s="70"/>
      <c r="R382" s="70" t="s">
        <v>31</v>
      </c>
      <c r="S382" s="71">
        <v>45498.5131944444</v>
      </c>
      <c r="T382" s="72"/>
      <c r="U382" s="63">
        <v>45589.512499999997</v>
      </c>
      <c r="V382" s="64">
        <v>-51</v>
      </c>
    </row>
    <row r="383" spans="1:22" ht="11.25" x14ac:dyDescent="0.2">
      <c r="A383" s="65">
        <v>306662</v>
      </c>
      <c r="B383" s="65" t="s">
        <v>1452</v>
      </c>
      <c r="C383" s="66" t="s">
        <v>1477</v>
      </c>
      <c r="D383" s="66" t="s">
        <v>1478</v>
      </c>
      <c r="E383" s="67" t="s">
        <v>241</v>
      </c>
      <c r="F383" s="66" t="s">
        <v>242</v>
      </c>
      <c r="G383" s="67" t="s">
        <v>23</v>
      </c>
      <c r="H383" s="65" t="s">
        <v>34</v>
      </c>
      <c r="I383" s="67" t="s">
        <v>35</v>
      </c>
      <c r="J383" s="67" t="s">
        <v>114</v>
      </c>
      <c r="K383" s="67" t="s">
        <v>115</v>
      </c>
      <c r="L383" s="65" t="s">
        <v>36</v>
      </c>
      <c r="M383" s="68" t="s">
        <v>37</v>
      </c>
      <c r="N383" s="68" t="s">
        <v>29</v>
      </c>
      <c r="O383" s="68" t="s">
        <v>30</v>
      </c>
      <c r="P383" s="69">
        <v>45522.636805555601</v>
      </c>
      <c r="Q383" s="70"/>
      <c r="R383" s="70" t="s">
        <v>31</v>
      </c>
      <c r="S383" s="71">
        <v>45407.572916666701</v>
      </c>
      <c r="T383" s="72"/>
      <c r="U383" s="63">
        <v>45593.612500000003</v>
      </c>
      <c r="V383" s="64">
        <v>-55</v>
      </c>
    </row>
    <row r="384" spans="1:22" ht="11.25" x14ac:dyDescent="0.2">
      <c r="A384" s="65">
        <v>306674</v>
      </c>
      <c r="B384" s="65" t="s">
        <v>1455</v>
      </c>
      <c r="C384" s="66" t="s">
        <v>1456</v>
      </c>
      <c r="D384" s="66" t="s">
        <v>1457</v>
      </c>
      <c r="E384" s="67" t="s">
        <v>1458</v>
      </c>
      <c r="F384" s="66" t="s">
        <v>1459</v>
      </c>
      <c r="G384" s="67" t="s">
        <v>23</v>
      </c>
      <c r="H384" s="65" t="s">
        <v>179</v>
      </c>
      <c r="I384" s="67" t="s">
        <v>180</v>
      </c>
      <c r="J384" s="67" t="s">
        <v>808</v>
      </c>
      <c r="K384" s="67" t="s">
        <v>809</v>
      </c>
      <c r="L384" s="65" t="s">
        <v>36</v>
      </c>
      <c r="M384" s="68" t="s">
        <v>37</v>
      </c>
      <c r="N384" s="68" t="s">
        <v>57</v>
      </c>
      <c r="O384" s="68" t="s">
        <v>58</v>
      </c>
      <c r="P384" s="69"/>
      <c r="Q384" s="70"/>
      <c r="R384" s="70" t="s">
        <v>31</v>
      </c>
      <c r="S384" s="71">
        <v>45499.475694444402</v>
      </c>
      <c r="T384" s="72"/>
      <c r="U384" s="63">
        <v>45595.375</v>
      </c>
      <c r="V384" s="64">
        <v>-57</v>
      </c>
    </row>
    <row r="385" spans="1:22" ht="11.25" x14ac:dyDescent="0.2">
      <c r="A385" s="65">
        <v>306676</v>
      </c>
      <c r="B385" s="65" t="s">
        <v>1479</v>
      </c>
      <c r="C385" s="66" t="s">
        <v>1460</v>
      </c>
      <c r="D385" s="66" t="s">
        <v>1480</v>
      </c>
      <c r="E385" s="67" t="s">
        <v>453</v>
      </c>
      <c r="F385" s="66" t="s">
        <v>454</v>
      </c>
      <c r="G385" s="67" t="s">
        <v>23</v>
      </c>
      <c r="H385" s="65" t="s">
        <v>53</v>
      </c>
      <c r="I385" s="67" t="s">
        <v>54</v>
      </c>
      <c r="J385" s="67" t="s">
        <v>1289</v>
      </c>
      <c r="K385" s="67" t="s">
        <v>1290</v>
      </c>
      <c r="L385" s="65" t="s">
        <v>36</v>
      </c>
      <c r="M385" s="68" t="s">
        <v>37</v>
      </c>
      <c r="N385" s="68" t="s">
        <v>57</v>
      </c>
      <c r="O385" s="68" t="s">
        <v>58</v>
      </c>
      <c r="P385" s="69">
        <v>45516.338194444397</v>
      </c>
      <c r="Q385" s="70"/>
      <c r="R385" s="70" t="s">
        <v>40</v>
      </c>
      <c r="S385" s="71">
        <v>45505.469444444403</v>
      </c>
      <c r="T385" s="72"/>
      <c r="U385" s="63">
        <v>45505.542361111096</v>
      </c>
      <c r="V385" s="64">
        <v>33</v>
      </c>
    </row>
    <row r="386" spans="1:22" ht="11.25" x14ac:dyDescent="0.2">
      <c r="A386" s="65">
        <v>306697</v>
      </c>
      <c r="B386" s="65" t="s">
        <v>1481</v>
      </c>
      <c r="C386" s="66" t="s">
        <v>1482</v>
      </c>
      <c r="D386" s="66" t="s">
        <v>1483</v>
      </c>
      <c r="E386" s="67" t="s">
        <v>101</v>
      </c>
      <c r="F386" s="66" t="s">
        <v>102</v>
      </c>
      <c r="G386" s="67" t="s">
        <v>23</v>
      </c>
      <c r="H386" s="65" t="s">
        <v>179</v>
      </c>
      <c r="I386" s="67" t="s">
        <v>180</v>
      </c>
      <c r="J386" s="67" t="s">
        <v>339</v>
      </c>
      <c r="K386" s="67" t="s">
        <v>340</v>
      </c>
      <c r="L386" s="65" t="s">
        <v>36</v>
      </c>
      <c r="M386" s="68" t="s">
        <v>37</v>
      </c>
      <c r="N386" s="68" t="s">
        <v>1484</v>
      </c>
      <c r="O386" s="68" t="s">
        <v>1485</v>
      </c>
      <c r="P386" s="69"/>
      <c r="Q386" s="70"/>
      <c r="R386" s="70" t="s">
        <v>31</v>
      </c>
      <c r="S386" s="71">
        <v>45510.408333333296</v>
      </c>
      <c r="T386" s="72"/>
      <c r="U386" s="63">
        <v>45601.601388888899</v>
      </c>
      <c r="V386" s="64">
        <v>-63</v>
      </c>
    </row>
    <row r="387" spans="1:22" ht="11.25" x14ac:dyDescent="0.2">
      <c r="A387" s="65">
        <v>306963</v>
      </c>
      <c r="B387" s="65" t="s">
        <v>1486</v>
      </c>
      <c r="C387" s="66" t="s">
        <v>1487</v>
      </c>
      <c r="D387" s="66" t="s">
        <v>1488</v>
      </c>
      <c r="E387" s="67" t="s">
        <v>1489</v>
      </c>
      <c r="F387" s="66" t="s">
        <v>1490</v>
      </c>
      <c r="G387" s="67" t="s">
        <v>48</v>
      </c>
      <c r="H387" s="65" t="s">
        <v>179</v>
      </c>
      <c r="I387" s="67" t="s">
        <v>180</v>
      </c>
      <c r="J387" s="67" t="s">
        <v>1169</v>
      </c>
      <c r="K387" s="67" t="s">
        <v>1170</v>
      </c>
      <c r="L387" s="65" t="s">
        <v>36</v>
      </c>
      <c r="M387" s="68" t="s">
        <v>37</v>
      </c>
      <c r="N387" s="68" t="s">
        <v>57</v>
      </c>
      <c r="O387" s="68" t="s">
        <v>58</v>
      </c>
      <c r="P387" s="69"/>
      <c r="Q387" s="70"/>
      <c r="R387" s="70" t="s">
        <v>31</v>
      </c>
      <c r="S387" s="71">
        <v>45498.591666666704</v>
      </c>
      <c r="T387" s="72"/>
      <c r="U387" s="63">
        <v>45596.668055555601</v>
      </c>
      <c r="V387" s="64">
        <v>-58</v>
      </c>
    </row>
    <row r="388" spans="1:22" ht="11.25" x14ac:dyDescent="0.2">
      <c r="A388" s="65">
        <v>306978</v>
      </c>
      <c r="B388" s="65" t="s">
        <v>1491</v>
      </c>
      <c r="C388" s="66" t="s">
        <v>1492</v>
      </c>
      <c r="D388" s="66" t="s">
        <v>1492</v>
      </c>
      <c r="E388" s="67" t="s">
        <v>1493</v>
      </c>
      <c r="F388" s="66" t="s">
        <v>1494</v>
      </c>
      <c r="G388" s="67" t="s">
        <v>222</v>
      </c>
      <c r="H388" s="65" t="s">
        <v>34</v>
      </c>
      <c r="I388" s="67" t="s">
        <v>35</v>
      </c>
      <c r="J388" s="67" t="s">
        <v>1495</v>
      </c>
      <c r="K388" s="67" t="s">
        <v>1496</v>
      </c>
      <c r="L388" s="65" t="s">
        <v>237</v>
      </c>
      <c r="M388" s="68" t="s">
        <v>238</v>
      </c>
      <c r="N388" s="68" t="s">
        <v>1484</v>
      </c>
      <c r="O388" s="68" t="s">
        <v>1485</v>
      </c>
      <c r="P388" s="69"/>
      <c r="Q388" s="70"/>
      <c r="R388" s="70" t="s">
        <v>73</v>
      </c>
      <c r="S388" s="71">
        <v>45510.363194444399</v>
      </c>
      <c r="T388" s="72"/>
      <c r="U388" s="63">
        <v>45510.363194444399</v>
      </c>
      <c r="V388" s="64">
        <v>28</v>
      </c>
    </row>
    <row r="389" spans="1:22" ht="11.25" x14ac:dyDescent="0.2">
      <c r="A389" s="65">
        <v>306981</v>
      </c>
      <c r="B389" s="65" t="s">
        <v>1497</v>
      </c>
      <c r="C389" s="66" t="s">
        <v>1498</v>
      </c>
      <c r="D389" s="66" t="s">
        <v>1498</v>
      </c>
      <c r="E389" s="67" t="s">
        <v>388</v>
      </c>
      <c r="F389" s="66" t="s">
        <v>389</v>
      </c>
      <c r="G389" s="67" t="s">
        <v>23</v>
      </c>
      <c r="H389" s="65" t="s">
        <v>22</v>
      </c>
      <c r="I389" s="67" t="s">
        <v>24</v>
      </c>
      <c r="J389" s="67" t="s">
        <v>649</v>
      </c>
      <c r="K389" s="67" t="s">
        <v>650</v>
      </c>
      <c r="L389" s="65" t="s">
        <v>36</v>
      </c>
      <c r="M389" s="68" t="s">
        <v>37</v>
      </c>
      <c r="N389" s="68" t="s">
        <v>57</v>
      </c>
      <c r="O389" s="68" t="s">
        <v>58</v>
      </c>
      <c r="P389" s="69">
        <v>45513.342361111099</v>
      </c>
      <c r="Q389" s="70"/>
      <c r="R389" s="70" t="s">
        <v>31</v>
      </c>
      <c r="S389" s="71">
        <v>45493.561111111099</v>
      </c>
      <c r="T389" s="72" t="s">
        <v>85</v>
      </c>
      <c r="U389" s="63">
        <v>45600.632638888899</v>
      </c>
      <c r="V389" s="64">
        <v>-62</v>
      </c>
    </row>
    <row r="390" spans="1:22" ht="11.25" x14ac:dyDescent="0.2">
      <c r="A390" s="65">
        <v>306982</v>
      </c>
      <c r="B390" s="65" t="s">
        <v>1499</v>
      </c>
      <c r="C390" s="66" t="s">
        <v>1500</v>
      </c>
      <c r="D390" s="66" t="s">
        <v>1501</v>
      </c>
      <c r="E390" s="67" t="s">
        <v>1435</v>
      </c>
      <c r="F390" s="66" t="s">
        <v>1436</v>
      </c>
      <c r="G390" s="67" t="s">
        <v>23</v>
      </c>
      <c r="H390" s="65" t="s">
        <v>49</v>
      </c>
      <c r="I390" s="67" t="s">
        <v>50</v>
      </c>
      <c r="J390" s="67" t="s">
        <v>507</v>
      </c>
      <c r="K390" s="67" t="s">
        <v>508</v>
      </c>
      <c r="L390" s="65" t="s">
        <v>36</v>
      </c>
      <c r="M390" s="68" t="s">
        <v>37</v>
      </c>
      <c r="N390" s="68" t="s">
        <v>29</v>
      </c>
      <c r="O390" s="68" t="s">
        <v>30</v>
      </c>
      <c r="P390" s="69"/>
      <c r="Q390" s="70"/>
      <c r="R390" s="70" t="s">
        <v>31</v>
      </c>
      <c r="S390" s="71">
        <v>45486.329166666699</v>
      </c>
      <c r="T390" s="72" t="s">
        <v>1274</v>
      </c>
      <c r="U390" s="63">
        <v>45600.632638888899</v>
      </c>
      <c r="V390" s="64">
        <v>-62</v>
      </c>
    </row>
    <row r="391" spans="1:22" ht="11.25" x14ac:dyDescent="0.2">
      <c r="A391" s="65">
        <v>306984</v>
      </c>
      <c r="B391" s="65" t="s">
        <v>1502</v>
      </c>
      <c r="C391" s="66" t="s">
        <v>1503</v>
      </c>
      <c r="D391" s="66" t="s">
        <v>1503</v>
      </c>
      <c r="E391" s="67" t="s">
        <v>632</v>
      </c>
      <c r="F391" s="66" t="s">
        <v>633</v>
      </c>
      <c r="G391" s="67" t="s">
        <v>23</v>
      </c>
      <c r="H391" s="65" t="s">
        <v>34</v>
      </c>
      <c r="I391" s="67" t="s">
        <v>35</v>
      </c>
      <c r="J391" s="67" t="s">
        <v>634</v>
      </c>
      <c r="K391" s="67" t="s">
        <v>635</v>
      </c>
      <c r="L391" s="65" t="s">
        <v>36</v>
      </c>
      <c r="M391" s="68" t="s">
        <v>37</v>
      </c>
      <c r="N391" s="68" t="s">
        <v>29</v>
      </c>
      <c r="O391" s="68" t="s">
        <v>30</v>
      </c>
      <c r="P391" s="69">
        <v>45538.659722222197</v>
      </c>
      <c r="Q391" s="70"/>
      <c r="R391" s="70" t="s">
        <v>31</v>
      </c>
      <c r="S391" s="71">
        <v>45486.354166666701</v>
      </c>
      <c r="T391" s="72" t="s">
        <v>99</v>
      </c>
      <c r="U391" s="63">
        <v>45600.632638888899</v>
      </c>
      <c r="V391" s="64">
        <v>-62</v>
      </c>
    </row>
    <row r="392" spans="1:22" ht="11.25" x14ac:dyDescent="0.2">
      <c r="A392" s="65">
        <v>306985</v>
      </c>
      <c r="B392" s="65" t="s">
        <v>1504</v>
      </c>
      <c r="C392" s="66" t="s">
        <v>1505</v>
      </c>
      <c r="D392" s="66" t="s">
        <v>1505</v>
      </c>
      <c r="E392" s="67" t="s">
        <v>1238</v>
      </c>
      <c r="F392" s="66" t="s">
        <v>1239</v>
      </c>
      <c r="G392" s="67" t="s">
        <v>23</v>
      </c>
      <c r="H392" s="65" t="s">
        <v>81</v>
      </c>
      <c r="I392" s="67" t="s">
        <v>82</v>
      </c>
      <c r="J392" s="67" t="s">
        <v>1506</v>
      </c>
      <c r="K392" s="67" t="s">
        <v>1507</v>
      </c>
      <c r="L392" s="65" t="s">
        <v>36</v>
      </c>
      <c r="M392" s="68" t="s">
        <v>37</v>
      </c>
      <c r="N392" s="68" t="s">
        <v>29</v>
      </c>
      <c r="O392" s="68" t="s">
        <v>30</v>
      </c>
      <c r="P392" s="69"/>
      <c r="Q392" s="70"/>
      <c r="R392" s="70" t="s">
        <v>31</v>
      </c>
      <c r="S392" s="71">
        <v>45485.320138888899</v>
      </c>
      <c r="T392" s="72" t="s">
        <v>32</v>
      </c>
      <c r="U392" s="63">
        <v>45600.632638888899</v>
      </c>
      <c r="V392" s="64">
        <v>-62</v>
      </c>
    </row>
    <row r="393" spans="1:22" ht="11.25" x14ac:dyDescent="0.2">
      <c r="A393" s="65">
        <v>306988</v>
      </c>
      <c r="B393" s="65" t="s">
        <v>1508</v>
      </c>
      <c r="C393" s="66" t="s">
        <v>1509</v>
      </c>
      <c r="D393" s="66" t="s">
        <v>1509</v>
      </c>
      <c r="E393" s="67" t="s">
        <v>175</v>
      </c>
      <c r="F393" s="66" t="s">
        <v>176</v>
      </c>
      <c r="G393" s="67" t="s">
        <v>23</v>
      </c>
      <c r="H393" s="65" t="s">
        <v>34</v>
      </c>
      <c r="I393" s="67" t="s">
        <v>35</v>
      </c>
      <c r="J393" s="67" t="s">
        <v>114</v>
      </c>
      <c r="K393" s="67" t="s">
        <v>115</v>
      </c>
      <c r="L393" s="65" t="s">
        <v>36</v>
      </c>
      <c r="M393" s="68" t="s">
        <v>37</v>
      </c>
      <c r="N393" s="68" t="s">
        <v>29</v>
      </c>
      <c r="O393" s="68" t="s">
        <v>30</v>
      </c>
      <c r="P393" s="69">
        <v>45512.372222222199</v>
      </c>
      <c r="Q393" s="70"/>
      <c r="R393" s="70" t="s">
        <v>31</v>
      </c>
      <c r="S393" s="71">
        <v>45469.638888888898</v>
      </c>
      <c r="T393" s="72" t="s">
        <v>116</v>
      </c>
      <c r="U393" s="63">
        <v>45600.632638888899</v>
      </c>
      <c r="V393" s="64">
        <v>-62</v>
      </c>
    </row>
    <row r="394" spans="1:22" ht="11.25" x14ac:dyDescent="0.2">
      <c r="A394" s="65">
        <v>306989</v>
      </c>
      <c r="B394" s="65" t="s">
        <v>1510</v>
      </c>
      <c r="C394" s="66" t="s">
        <v>1511</v>
      </c>
      <c r="D394" s="66" t="s">
        <v>1512</v>
      </c>
      <c r="E394" s="67" t="s">
        <v>973</v>
      </c>
      <c r="F394" s="66" t="s">
        <v>974</v>
      </c>
      <c r="G394" s="67" t="s">
        <v>23</v>
      </c>
      <c r="H394" s="65" t="s">
        <v>22</v>
      </c>
      <c r="I394" s="67" t="s">
        <v>24</v>
      </c>
      <c r="J394" s="67" t="s">
        <v>121</v>
      </c>
      <c r="K394" s="67" t="s">
        <v>122</v>
      </c>
      <c r="L394" s="65" t="s">
        <v>36</v>
      </c>
      <c r="M394" s="68" t="s">
        <v>37</v>
      </c>
      <c r="N394" s="68" t="s">
        <v>29</v>
      </c>
      <c r="O394" s="68" t="s">
        <v>30</v>
      </c>
      <c r="P394" s="69">
        <v>45518.595138888901</v>
      </c>
      <c r="Q394" s="70"/>
      <c r="R394" s="70" t="s">
        <v>31</v>
      </c>
      <c r="S394" s="71">
        <v>45491.398611111101</v>
      </c>
      <c r="T394" s="72" t="s">
        <v>193</v>
      </c>
      <c r="U394" s="63">
        <v>45600.632638888899</v>
      </c>
      <c r="V394" s="64">
        <v>-62</v>
      </c>
    </row>
    <row r="395" spans="1:22" ht="11.25" x14ac:dyDescent="0.2">
      <c r="A395" s="65">
        <v>306991</v>
      </c>
      <c r="B395" s="65" t="s">
        <v>1513</v>
      </c>
      <c r="C395" s="66" t="s">
        <v>1514</v>
      </c>
      <c r="D395" s="66" t="s">
        <v>1514</v>
      </c>
      <c r="E395" s="67" t="s">
        <v>316</v>
      </c>
      <c r="F395" s="66" t="s">
        <v>317</v>
      </c>
      <c r="G395" s="67" t="s">
        <v>23</v>
      </c>
      <c r="H395" s="65" t="s">
        <v>22</v>
      </c>
      <c r="I395" s="67" t="s">
        <v>24</v>
      </c>
      <c r="J395" s="67" t="s">
        <v>649</v>
      </c>
      <c r="K395" s="67" t="s">
        <v>650</v>
      </c>
      <c r="L395" s="65" t="s">
        <v>36</v>
      </c>
      <c r="M395" s="68" t="s">
        <v>37</v>
      </c>
      <c r="N395" s="68" t="s">
        <v>29</v>
      </c>
      <c r="O395" s="68" t="s">
        <v>30</v>
      </c>
      <c r="P395" s="69"/>
      <c r="Q395" s="70"/>
      <c r="R395" s="70" t="s">
        <v>31</v>
      </c>
      <c r="S395" s="71">
        <v>45493.529166666704</v>
      </c>
      <c r="T395" s="72" t="s">
        <v>85</v>
      </c>
      <c r="U395" s="63">
        <v>45600.632638888899</v>
      </c>
      <c r="V395" s="64">
        <v>-62</v>
      </c>
    </row>
    <row r="396" spans="1:22" ht="11.25" x14ac:dyDescent="0.2">
      <c r="A396" s="65">
        <v>306992</v>
      </c>
      <c r="B396" s="65" t="s">
        <v>1515</v>
      </c>
      <c r="C396" s="66" t="s">
        <v>1516</v>
      </c>
      <c r="D396" s="66" t="s">
        <v>1516</v>
      </c>
      <c r="E396" s="67" t="s">
        <v>376</v>
      </c>
      <c r="F396" s="66" t="s">
        <v>377</v>
      </c>
      <c r="G396" s="67" t="s">
        <v>23</v>
      </c>
      <c r="H396" s="65" t="s">
        <v>22</v>
      </c>
      <c r="I396" s="67" t="s">
        <v>24</v>
      </c>
      <c r="J396" s="67" t="s">
        <v>649</v>
      </c>
      <c r="K396" s="67" t="s">
        <v>650</v>
      </c>
      <c r="L396" s="65" t="s">
        <v>36</v>
      </c>
      <c r="M396" s="68" t="s">
        <v>37</v>
      </c>
      <c r="N396" s="68" t="s">
        <v>29</v>
      </c>
      <c r="O396" s="68" t="s">
        <v>30</v>
      </c>
      <c r="P396" s="69"/>
      <c r="Q396" s="70"/>
      <c r="R396" s="70" t="s">
        <v>31</v>
      </c>
      <c r="S396" s="71">
        <v>45493.545138888898</v>
      </c>
      <c r="T396" s="72" t="s">
        <v>85</v>
      </c>
      <c r="U396" s="63">
        <v>45600.632638888899</v>
      </c>
      <c r="V396" s="64">
        <v>-62</v>
      </c>
    </row>
    <row r="397" spans="1:22" ht="11.25" x14ac:dyDescent="0.2">
      <c r="A397" s="65">
        <v>306993</v>
      </c>
      <c r="B397" s="65" t="s">
        <v>1517</v>
      </c>
      <c r="C397" s="66" t="s">
        <v>1518</v>
      </c>
      <c r="D397" s="66" t="s">
        <v>1518</v>
      </c>
      <c r="E397" s="67" t="s">
        <v>659</v>
      </c>
      <c r="F397" s="66" t="s">
        <v>660</v>
      </c>
      <c r="G397" s="67" t="s">
        <v>23</v>
      </c>
      <c r="H397" s="65" t="s">
        <v>179</v>
      </c>
      <c r="I397" s="67" t="s">
        <v>180</v>
      </c>
      <c r="J397" s="67" t="s">
        <v>649</v>
      </c>
      <c r="K397" s="67" t="s">
        <v>650</v>
      </c>
      <c r="L397" s="65" t="s">
        <v>36</v>
      </c>
      <c r="M397" s="68" t="s">
        <v>37</v>
      </c>
      <c r="N397" s="68" t="s">
        <v>90</v>
      </c>
      <c r="O397" s="68" t="s">
        <v>91</v>
      </c>
      <c r="P397" s="69"/>
      <c r="Q397" s="70"/>
      <c r="R397" s="70" t="s">
        <v>31</v>
      </c>
      <c r="S397" s="71">
        <v>45493.554861111101</v>
      </c>
      <c r="T397" s="72" t="s">
        <v>85</v>
      </c>
      <c r="U397" s="63">
        <v>45583.554861111101</v>
      </c>
      <c r="V397" s="64">
        <v>-45</v>
      </c>
    </row>
    <row r="398" spans="1:22" ht="11.25" x14ac:dyDescent="0.2">
      <c r="A398" s="65">
        <v>306997</v>
      </c>
      <c r="B398" s="65" t="s">
        <v>1519</v>
      </c>
      <c r="C398" s="66" t="s">
        <v>1520</v>
      </c>
      <c r="D398" s="66" t="s">
        <v>1520</v>
      </c>
      <c r="E398" s="67" t="s">
        <v>183</v>
      </c>
      <c r="F398" s="66" t="s">
        <v>184</v>
      </c>
      <c r="G398" s="67" t="s">
        <v>23</v>
      </c>
      <c r="H398" s="65" t="s">
        <v>49</v>
      </c>
      <c r="I398" s="67" t="s">
        <v>50</v>
      </c>
      <c r="J398" s="67" t="s">
        <v>121</v>
      </c>
      <c r="K398" s="67" t="s">
        <v>122</v>
      </c>
      <c r="L398" s="65" t="s">
        <v>36</v>
      </c>
      <c r="M398" s="68" t="s">
        <v>37</v>
      </c>
      <c r="N398" s="68" t="s">
        <v>83</v>
      </c>
      <c r="O398" s="68" t="s">
        <v>84</v>
      </c>
      <c r="P398" s="69">
        <v>45520.502083333296</v>
      </c>
      <c r="Q398" s="70"/>
      <c r="R398" s="70" t="s">
        <v>47</v>
      </c>
      <c r="S398" s="71">
        <v>45439.296527777798</v>
      </c>
      <c r="T398" s="72" t="s">
        <v>161</v>
      </c>
      <c r="U398" s="63">
        <v>45660.632638888899</v>
      </c>
      <c r="V398" s="64">
        <v>-122</v>
      </c>
    </row>
    <row r="399" spans="1:22" ht="11.25" x14ac:dyDescent="0.2">
      <c r="A399" s="65">
        <v>306999</v>
      </c>
      <c r="B399" s="65" t="s">
        <v>1521</v>
      </c>
      <c r="C399" s="66" t="s">
        <v>1522</v>
      </c>
      <c r="D399" s="66" t="s">
        <v>1522</v>
      </c>
      <c r="E399" s="67" t="s">
        <v>1435</v>
      </c>
      <c r="F399" s="66" t="s">
        <v>1436</v>
      </c>
      <c r="G399" s="67" t="s">
        <v>23</v>
      </c>
      <c r="H399" s="65" t="s">
        <v>179</v>
      </c>
      <c r="I399" s="67" t="s">
        <v>180</v>
      </c>
      <c r="J399" s="67" t="s">
        <v>507</v>
      </c>
      <c r="K399" s="67" t="s">
        <v>508</v>
      </c>
      <c r="L399" s="65" t="s">
        <v>36</v>
      </c>
      <c r="M399" s="68" t="s">
        <v>37</v>
      </c>
      <c r="N399" s="68" t="s">
        <v>29</v>
      </c>
      <c r="O399" s="68" t="s">
        <v>30</v>
      </c>
      <c r="P399" s="69"/>
      <c r="Q399" s="70"/>
      <c r="R399" s="70" t="s">
        <v>31</v>
      </c>
      <c r="S399" s="71">
        <v>45488.216666666704</v>
      </c>
      <c r="T399" s="72" t="s">
        <v>1274</v>
      </c>
      <c r="U399" s="63">
        <v>45578.216666666704</v>
      </c>
      <c r="V399" s="64">
        <v>-40</v>
      </c>
    </row>
    <row r="400" spans="1:22" ht="11.25" x14ac:dyDescent="0.2">
      <c r="A400" s="65">
        <v>307000</v>
      </c>
      <c r="B400" s="65" t="s">
        <v>1523</v>
      </c>
      <c r="C400" s="66" t="s">
        <v>1524</v>
      </c>
      <c r="D400" s="66" t="s">
        <v>1524</v>
      </c>
      <c r="E400" s="67" t="s">
        <v>187</v>
      </c>
      <c r="F400" s="66" t="s">
        <v>188</v>
      </c>
      <c r="G400" s="67" t="s">
        <v>23</v>
      </c>
      <c r="H400" s="65" t="s">
        <v>34</v>
      </c>
      <c r="I400" s="67" t="s">
        <v>35</v>
      </c>
      <c r="J400" s="67" t="s">
        <v>989</v>
      </c>
      <c r="K400" s="67" t="s">
        <v>990</v>
      </c>
      <c r="L400" s="65" t="s">
        <v>36</v>
      </c>
      <c r="M400" s="68" t="s">
        <v>37</v>
      </c>
      <c r="N400" s="68" t="s">
        <v>29</v>
      </c>
      <c r="O400" s="68" t="s">
        <v>30</v>
      </c>
      <c r="P400" s="69">
        <v>45513.340277777803</v>
      </c>
      <c r="Q400" s="70"/>
      <c r="R400" s="70" t="s">
        <v>31</v>
      </c>
      <c r="S400" s="71">
        <v>45509.657638888901</v>
      </c>
      <c r="T400" s="72" t="s">
        <v>99</v>
      </c>
      <c r="U400" s="63">
        <v>45600.632638888899</v>
      </c>
      <c r="V400" s="64">
        <v>-62</v>
      </c>
    </row>
    <row r="401" spans="1:22" ht="11.25" x14ac:dyDescent="0.2">
      <c r="A401" s="65">
        <v>307005</v>
      </c>
      <c r="B401" s="65" t="s">
        <v>1525</v>
      </c>
      <c r="C401" s="66" t="s">
        <v>1526</v>
      </c>
      <c r="D401" s="66" t="s">
        <v>1526</v>
      </c>
      <c r="E401" s="67" t="s">
        <v>92</v>
      </c>
      <c r="F401" s="66" t="s">
        <v>93</v>
      </c>
      <c r="G401" s="67" t="s">
        <v>23</v>
      </c>
      <c r="H401" s="65" t="s">
        <v>179</v>
      </c>
      <c r="I401" s="67" t="s">
        <v>180</v>
      </c>
      <c r="J401" s="67" t="s">
        <v>507</v>
      </c>
      <c r="K401" s="67" t="s">
        <v>508</v>
      </c>
      <c r="L401" s="65" t="s">
        <v>36</v>
      </c>
      <c r="M401" s="68" t="s">
        <v>37</v>
      </c>
      <c r="N401" s="68" t="s">
        <v>57</v>
      </c>
      <c r="O401" s="68" t="s">
        <v>58</v>
      </c>
      <c r="P401" s="69"/>
      <c r="Q401" s="70"/>
      <c r="R401" s="70" t="s">
        <v>31</v>
      </c>
      <c r="S401" s="71">
        <v>45502.4152777778</v>
      </c>
      <c r="T401" s="72" t="s">
        <v>96</v>
      </c>
      <c r="U401" s="63">
        <v>45592.4152777778</v>
      </c>
      <c r="V401" s="64">
        <v>-54</v>
      </c>
    </row>
    <row r="402" spans="1:22" ht="11.25" x14ac:dyDescent="0.2">
      <c r="A402" s="65">
        <v>307010</v>
      </c>
      <c r="B402" s="65" t="s">
        <v>1527</v>
      </c>
      <c r="C402" s="66" t="s">
        <v>1528</v>
      </c>
      <c r="D402" s="66" t="s">
        <v>1528</v>
      </c>
      <c r="E402" s="67" t="s">
        <v>105</v>
      </c>
      <c r="F402" s="66" t="s">
        <v>106</v>
      </c>
      <c r="G402" s="67" t="s">
        <v>23</v>
      </c>
      <c r="H402" s="65" t="s">
        <v>34</v>
      </c>
      <c r="I402" s="67" t="s">
        <v>35</v>
      </c>
      <c r="J402" s="67" t="s">
        <v>107</v>
      </c>
      <c r="K402" s="67" t="s">
        <v>108</v>
      </c>
      <c r="L402" s="65" t="s">
        <v>36</v>
      </c>
      <c r="M402" s="68" t="s">
        <v>37</v>
      </c>
      <c r="N402" s="68" t="s">
        <v>29</v>
      </c>
      <c r="O402" s="68" t="s">
        <v>30</v>
      </c>
      <c r="P402" s="69">
        <v>45513.339583333298</v>
      </c>
      <c r="Q402" s="70"/>
      <c r="R402" s="70" t="s">
        <v>31</v>
      </c>
      <c r="S402" s="71">
        <v>45504.260416666701</v>
      </c>
      <c r="T402" s="72" t="s">
        <v>109</v>
      </c>
      <c r="U402" s="63">
        <v>45600.632638888899</v>
      </c>
      <c r="V402" s="64">
        <v>-62</v>
      </c>
    </row>
    <row r="403" spans="1:22" ht="11.25" x14ac:dyDescent="0.2">
      <c r="A403" s="65">
        <v>307012</v>
      </c>
      <c r="B403" s="65" t="s">
        <v>1529</v>
      </c>
      <c r="C403" s="66" t="s">
        <v>1530</v>
      </c>
      <c r="D403" s="66" t="s">
        <v>1530</v>
      </c>
      <c r="E403" s="67" t="s">
        <v>86</v>
      </c>
      <c r="F403" s="66" t="s">
        <v>87</v>
      </c>
      <c r="G403" s="67" t="s">
        <v>23</v>
      </c>
      <c r="H403" s="65" t="s">
        <v>22</v>
      </c>
      <c r="I403" s="67" t="s">
        <v>24</v>
      </c>
      <c r="J403" s="67" t="s">
        <v>509</v>
      </c>
      <c r="K403" s="67" t="s">
        <v>510</v>
      </c>
      <c r="L403" s="65" t="s">
        <v>36</v>
      </c>
      <c r="M403" s="68" t="s">
        <v>37</v>
      </c>
      <c r="N403" s="68" t="s">
        <v>29</v>
      </c>
      <c r="O403" s="68" t="s">
        <v>30</v>
      </c>
      <c r="P403" s="69"/>
      <c r="Q403" s="70"/>
      <c r="R403" s="70" t="s">
        <v>31</v>
      </c>
      <c r="S403" s="71">
        <v>45502.546527777798</v>
      </c>
      <c r="T403" s="72" t="s">
        <v>85</v>
      </c>
      <c r="U403" s="63">
        <v>45600.632638888899</v>
      </c>
      <c r="V403" s="64">
        <v>-62</v>
      </c>
    </row>
    <row r="404" spans="1:22" ht="11.25" x14ac:dyDescent="0.2">
      <c r="A404" s="65">
        <v>307013</v>
      </c>
      <c r="B404" s="65" t="s">
        <v>1531</v>
      </c>
      <c r="C404" s="66" t="s">
        <v>1532</v>
      </c>
      <c r="D404" s="66" t="s">
        <v>1532</v>
      </c>
      <c r="E404" s="67" t="s">
        <v>1533</v>
      </c>
      <c r="F404" s="66" t="s">
        <v>1534</v>
      </c>
      <c r="G404" s="67" t="s">
        <v>23</v>
      </c>
      <c r="H404" s="65" t="s">
        <v>34</v>
      </c>
      <c r="I404" s="67" t="s">
        <v>35</v>
      </c>
      <c r="J404" s="67" t="s">
        <v>128</v>
      </c>
      <c r="K404" s="67" t="s">
        <v>129</v>
      </c>
      <c r="L404" s="65" t="s">
        <v>36</v>
      </c>
      <c r="M404" s="68" t="s">
        <v>37</v>
      </c>
      <c r="N404" s="68" t="s">
        <v>29</v>
      </c>
      <c r="O404" s="68" t="s">
        <v>30</v>
      </c>
      <c r="P404" s="69">
        <v>45518.518750000003</v>
      </c>
      <c r="Q404" s="70"/>
      <c r="R404" s="70" t="s">
        <v>31</v>
      </c>
      <c r="S404" s="71">
        <v>45502.615277777797</v>
      </c>
      <c r="T404" s="72" t="s">
        <v>116</v>
      </c>
      <c r="U404" s="63">
        <v>45600.632638888899</v>
      </c>
      <c r="V404" s="64">
        <v>-62</v>
      </c>
    </row>
    <row r="405" spans="1:22" ht="11.25" x14ac:dyDescent="0.2">
      <c r="A405" s="65">
        <v>307014</v>
      </c>
      <c r="B405" s="65" t="s">
        <v>1535</v>
      </c>
      <c r="C405" s="66" t="s">
        <v>1536</v>
      </c>
      <c r="D405" s="66" t="s">
        <v>1536</v>
      </c>
      <c r="E405" s="67" t="s">
        <v>86</v>
      </c>
      <c r="F405" s="66" t="s">
        <v>87</v>
      </c>
      <c r="G405" s="67" t="s">
        <v>23</v>
      </c>
      <c r="H405" s="65" t="s">
        <v>22</v>
      </c>
      <c r="I405" s="67" t="s">
        <v>24</v>
      </c>
      <c r="J405" s="67" t="s">
        <v>509</v>
      </c>
      <c r="K405" s="67" t="s">
        <v>510</v>
      </c>
      <c r="L405" s="65" t="s">
        <v>36</v>
      </c>
      <c r="M405" s="68" t="s">
        <v>37</v>
      </c>
      <c r="N405" s="68" t="s">
        <v>83</v>
      </c>
      <c r="O405" s="68" t="s">
        <v>84</v>
      </c>
      <c r="P405" s="69"/>
      <c r="Q405" s="70"/>
      <c r="R405" s="70" t="s">
        <v>31</v>
      </c>
      <c r="S405" s="71">
        <v>45503.384722222203</v>
      </c>
      <c r="T405" s="72" t="s">
        <v>85</v>
      </c>
      <c r="U405" s="63">
        <v>45600.632638888899</v>
      </c>
      <c r="V405" s="64">
        <v>-62</v>
      </c>
    </row>
    <row r="406" spans="1:22" ht="11.25" x14ac:dyDescent="0.2">
      <c r="A406" s="65">
        <v>307016</v>
      </c>
      <c r="B406" s="65" t="s">
        <v>1537</v>
      </c>
      <c r="C406" s="66" t="s">
        <v>1538</v>
      </c>
      <c r="D406" s="66" t="s">
        <v>1538</v>
      </c>
      <c r="E406" s="67" t="s">
        <v>157</v>
      </c>
      <c r="F406" s="66" t="s">
        <v>158</v>
      </c>
      <c r="G406" s="67" t="s">
        <v>23</v>
      </c>
      <c r="H406" s="65" t="s">
        <v>179</v>
      </c>
      <c r="I406" s="67" t="s">
        <v>180</v>
      </c>
      <c r="J406" s="67" t="s">
        <v>226</v>
      </c>
      <c r="K406" s="67" t="s">
        <v>227</v>
      </c>
      <c r="L406" s="65" t="s">
        <v>36</v>
      </c>
      <c r="M406" s="68" t="s">
        <v>37</v>
      </c>
      <c r="N406" s="68" t="s">
        <v>83</v>
      </c>
      <c r="O406" s="68" t="s">
        <v>84</v>
      </c>
      <c r="P406" s="69"/>
      <c r="Q406" s="70"/>
      <c r="R406" s="70" t="s">
        <v>31</v>
      </c>
      <c r="S406" s="71">
        <v>45502.638888888898</v>
      </c>
      <c r="T406" s="72" t="s">
        <v>85</v>
      </c>
      <c r="U406" s="63">
        <v>45592.638888888898</v>
      </c>
      <c r="V406" s="64">
        <v>-54</v>
      </c>
    </row>
    <row r="407" spans="1:22" ht="11.25" x14ac:dyDescent="0.2">
      <c r="A407" s="65">
        <v>307018</v>
      </c>
      <c r="B407" s="65" t="s">
        <v>1539</v>
      </c>
      <c r="C407" s="66" t="s">
        <v>1540</v>
      </c>
      <c r="D407" s="66" t="s">
        <v>1540</v>
      </c>
      <c r="E407" s="67" t="s">
        <v>270</v>
      </c>
      <c r="F407" s="66" t="s">
        <v>271</v>
      </c>
      <c r="G407" s="67" t="s">
        <v>23</v>
      </c>
      <c r="H407" s="65" t="s">
        <v>22</v>
      </c>
      <c r="I407" s="67" t="s">
        <v>24</v>
      </c>
      <c r="J407" s="67" t="s">
        <v>107</v>
      </c>
      <c r="K407" s="67" t="s">
        <v>108</v>
      </c>
      <c r="L407" s="65" t="s">
        <v>36</v>
      </c>
      <c r="M407" s="68" t="s">
        <v>37</v>
      </c>
      <c r="N407" s="68" t="s">
        <v>29</v>
      </c>
      <c r="O407" s="68" t="s">
        <v>30</v>
      </c>
      <c r="P407" s="69">
        <v>45524.668749999997</v>
      </c>
      <c r="Q407" s="70"/>
      <c r="R407" s="70" t="s">
        <v>31</v>
      </c>
      <c r="S407" s="71">
        <v>45504.296527777798</v>
      </c>
      <c r="T407" s="72" t="s">
        <v>109</v>
      </c>
      <c r="U407" s="63">
        <v>45600.632638888899</v>
      </c>
      <c r="V407" s="64">
        <v>-62</v>
      </c>
    </row>
    <row r="408" spans="1:22" ht="11.25" x14ac:dyDescent="0.2">
      <c r="A408" s="65">
        <v>307019</v>
      </c>
      <c r="B408" s="65" t="s">
        <v>1541</v>
      </c>
      <c r="C408" s="66" t="s">
        <v>1542</v>
      </c>
      <c r="D408" s="66" t="s">
        <v>1542</v>
      </c>
      <c r="E408" s="67" t="s">
        <v>105</v>
      </c>
      <c r="F408" s="66" t="s">
        <v>106</v>
      </c>
      <c r="G408" s="67" t="s">
        <v>23</v>
      </c>
      <c r="H408" s="65" t="s">
        <v>34</v>
      </c>
      <c r="I408" s="67" t="s">
        <v>35</v>
      </c>
      <c r="J408" s="67" t="s">
        <v>107</v>
      </c>
      <c r="K408" s="67" t="s">
        <v>108</v>
      </c>
      <c r="L408" s="65" t="s">
        <v>36</v>
      </c>
      <c r="M408" s="68" t="s">
        <v>37</v>
      </c>
      <c r="N408" s="68" t="s">
        <v>29</v>
      </c>
      <c r="O408" s="68" t="s">
        <v>30</v>
      </c>
      <c r="P408" s="69">
        <v>45518.518750000003</v>
      </c>
      <c r="Q408" s="70"/>
      <c r="R408" s="70" t="s">
        <v>31</v>
      </c>
      <c r="S408" s="71">
        <v>45504.255555555603</v>
      </c>
      <c r="T408" s="72" t="s">
        <v>109</v>
      </c>
      <c r="U408" s="63">
        <v>45600.632638888899</v>
      </c>
      <c r="V408" s="64">
        <v>-62</v>
      </c>
    </row>
    <row r="409" spans="1:22" ht="11.25" x14ac:dyDescent="0.2">
      <c r="A409" s="65">
        <v>307021</v>
      </c>
      <c r="B409" s="65" t="s">
        <v>1543</v>
      </c>
      <c r="C409" s="66" t="s">
        <v>1544</v>
      </c>
      <c r="D409" s="66" t="s">
        <v>1544</v>
      </c>
      <c r="E409" s="67" t="s">
        <v>396</v>
      </c>
      <c r="F409" s="66" t="s">
        <v>397</v>
      </c>
      <c r="G409" s="67" t="s">
        <v>23</v>
      </c>
      <c r="H409" s="65" t="s">
        <v>179</v>
      </c>
      <c r="I409" s="67" t="s">
        <v>180</v>
      </c>
      <c r="J409" s="67" t="s">
        <v>649</v>
      </c>
      <c r="K409" s="67" t="s">
        <v>650</v>
      </c>
      <c r="L409" s="65" t="s">
        <v>36</v>
      </c>
      <c r="M409" s="68" t="s">
        <v>37</v>
      </c>
      <c r="N409" s="68" t="s">
        <v>57</v>
      </c>
      <c r="O409" s="68" t="s">
        <v>58</v>
      </c>
      <c r="P409" s="69"/>
      <c r="Q409" s="70"/>
      <c r="R409" s="70" t="s">
        <v>31</v>
      </c>
      <c r="S409" s="71">
        <v>45502.379166666702</v>
      </c>
      <c r="T409" s="72" t="s">
        <v>398</v>
      </c>
      <c r="U409" s="63">
        <v>45592.379166666702</v>
      </c>
      <c r="V409" s="64">
        <v>-54</v>
      </c>
    </row>
    <row r="410" spans="1:22" ht="11.25" x14ac:dyDescent="0.2">
      <c r="A410" s="65">
        <v>307024</v>
      </c>
      <c r="B410" s="65" t="s">
        <v>1545</v>
      </c>
      <c r="C410" s="66" t="s">
        <v>1546</v>
      </c>
      <c r="D410" s="66" t="s">
        <v>1546</v>
      </c>
      <c r="E410" s="67" t="s">
        <v>632</v>
      </c>
      <c r="F410" s="66" t="s">
        <v>633</v>
      </c>
      <c r="G410" s="67" t="s">
        <v>23</v>
      </c>
      <c r="H410" s="65" t="s">
        <v>179</v>
      </c>
      <c r="I410" s="67" t="s">
        <v>180</v>
      </c>
      <c r="J410" s="67" t="s">
        <v>634</v>
      </c>
      <c r="K410" s="67" t="s">
        <v>635</v>
      </c>
      <c r="L410" s="65" t="s">
        <v>36</v>
      </c>
      <c r="M410" s="68" t="s">
        <v>37</v>
      </c>
      <c r="N410" s="68" t="s">
        <v>29</v>
      </c>
      <c r="O410" s="68" t="s">
        <v>30</v>
      </c>
      <c r="P410" s="69"/>
      <c r="Q410" s="70"/>
      <c r="R410" s="70" t="s">
        <v>31</v>
      </c>
      <c r="S410" s="71">
        <v>45502.266666666699</v>
      </c>
      <c r="T410" s="72" t="s">
        <v>99</v>
      </c>
      <c r="U410" s="63">
        <v>45592.266666666699</v>
      </c>
      <c r="V410" s="64">
        <v>-54</v>
      </c>
    </row>
    <row r="411" spans="1:22" ht="11.25" x14ac:dyDescent="0.2">
      <c r="A411" s="65">
        <v>307027</v>
      </c>
      <c r="B411" s="65" t="s">
        <v>1547</v>
      </c>
      <c r="C411" s="66" t="s">
        <v>1548</v>
      </c>
      <c r="D411" s="66" t="s">
        <v>1548</v>
      </c>
      <c r="E411" s="67" t="s">
        <v>105</v>
      </c>
      <c r="F411" s="66" t="s">
        <v>106</v>
      </c>
      <c r="G411" s="67" t="s">
        <v>23</v>
      </c>
      <c r="H411" s="65" t="s">
        <v>22</v>
      </c>
      <c r="I411" s="67" t="s">
        <v>24</v>
      </c>
      <c r="J411" s="67" t="s">
        <v>107</v>
      </c>
      <c r="K411" s="67" t="s">
        <v>108</v>
      </c>
      <c r="L411" s="65" t="s">
        <v>36</v>
      </c>
      <c r="M411" s="68" t="s">
        <v>37</v>
      </c>
      <c r="N411" s="68" t="s">
        <v>29</v>
      </c>
      <c r="O411" s="68" t="s">
        <v>30</v>
      </c>
      <c r="P411" s="69">
        <v>45524.361111111102</v>
      </c>
      <c r="Q411" s="70"/>
      <c r="R411" s="70" t="s">
        <v>31</v>
      </c>
      <c r="S411" s="71">
        <v>45504.248611111099</v>
      </c>
      <c r="T411" s="72" t="s">
        <v>109</v>
      </c>
      <c r="U411" s="63">
        <v>45600.632638888899</v>
      </c>
      <c r="V411" s="64">
        <v>-62</v>
      </c>
    </row>
    <row r="412" spans="1:22" ht="11.25" x14ac:dyDescent="0.2">
      <c r="A412" s="65">
        <v>307029</v>
      </c>
      <c r="B412" s="65" t="s">
        <v>1479</v>
      </c>
      <c r="C412" s="66" t="s">
        <v>1551</v>
      </c>
      <c r="D412" s="66" t="s">
        <v>1551</v>
      </c>
      <c r="E412" s="67" t="s">
        <v>453</v>
      </c>
      <c r="F412" s="66" t="s">
        <v>454</v>
      </c>
      <c r="G412" s="67" t="s">
        <v>23</v>
      </c>
      <c r="H412" s="65" t="s">
        <v>179</v>
      </c>
      <c r="I412" s="67" t="s">
        <v>180</v>
      </c>
      <c r="J412" s="67" t="s">
        <v>1289</v>
      </c>
      <c r="K412" s="67" t="s">
        <v>1290</v>
      </c>
      <c r="L412" s="65" t="s">
        <v>36</v>
      </c>
      <c r="M412" s="68" t="s">
        <v>37</v>
      </c>
      <c r="N412" s="68" t="s">
        <v>57</v>
      </c>
      <c r="O412" s="68" t="s">
        <v>58</v>
      </c>
      <c r="P412" s="69"/>
      <c r="Q412" s="70"/>
      <c r="R412" s="70" t="s">
        <v>31</v>
      </c>
      <c r="S412" s="71">
        <v>45505.46875</v>
      </c>
      <c r="T412" s="72" t="s">
        <v>32</v>
      </c>
      <c r="U412" s="63">
        <v>45595.46875</v>
      </c>
      <c r="V412" s="64">
        <v>-57</v>
      </c>
    </row>
    <row r="413" spans="1:22" ht="11.25" x14ac:dyDescent="0.2">
      <c r="A413" s="65">
        <v>307030</v>
      </c>
      <c r="B413" s="65" t="s">
        <v>1552</v>
      </c>
      <c r="C413" s="66" t="s">
        <v>1553</v>
      </c>
      <c r="D413" s="66" t="s">
        <v>1554</v>
      </c>
      <c r="E413" s="67" t="s">
        <v>578</v>
      </c>
      <c r="F413" s="66" t="s">
        <v>579</v>
      </c>
      <c r="G413" s="67" t="s">
        <v>23</v>
      </c>
      <c r="H413" s="65" t="s">
        <v>22</v>
      </c>
      <c r="I413" s="67" t="s">
        <v>24</v>
      </c>
      <c r="J413" s="67" t="s">
        <v>25</v>
      </c>
      <c r="K413" s="67" t="s">
        <v>26</v>
      </c>
      <c r="L413" s="65" t="s">
        <v>36</v>
      </c>
      <c r="M413" s="68" t="s">
        <v>37</v>
      </c>
      <c r="N413" s="68" t="s">
        <v>29</v>
      </c>
      <c r="O413" s="68" t="s">
        <v>30</v>
      </c>
      <c r="P413" s="69">
        <v>45517.6118055556</v>
      </c>
      <c r="Q413" s="70"/>
      <c r="R413" s="70" t="s">
        <v>31</v>
      </c>
      <c r="S413" s="71">
        <v>45502.556944444397</v>
      </c>
      <c r="T413" s="72" t="s">
        <v>80</v>
      </c>
      <c r="U413" s="63">
        <v>45600.632638888899</v>
      </c>
      <c r="V413" s="64">
        <v>-62</v>
      </c>
    </row>
    <row r="414" spans="1:22" ht="11.25" x14ac:dyDescent="0.2">
      <c r="A414" s="65">
        <v>307031</v>
      </c>
      <c r="B414" s="65" t="s">
        <v>1555</v>
      </c>
      <c r="C414" s="66" t="s">
        <v>1556</v>
      </c>
      <c r="D414" s="66" t="s">
        <v>1556</v>
      </c>
      <c r="E414" s="67" t="s">
        <v>42</v>
      </c>
      <c r="F414" s="66" t="s">
        <v>43</v>
      </c>
      <c r="G414" s="67" t="s">
        <v>23</v>
      </c>
      <c r="H414" s="65" t="s">
        <v>34</v>
      </c>
      <c r="I414" s="67" t="s">
        <v>35</v>
      </c>
      <c r="J414" s="67" t="s">
        <v>469</v>
      </c>
      <c r="K414" s="67" t="s">
        <v>470</v>
      </c>
      <c r="L414" s="65" t="s">
        <v>36</v>
      </c>
      <c r="M414" s="68" t="s">
        <v>37</v>
      </c>
      <c r="N414" s="68" t="s">
        <v>29</v>
      </c>
      <c r="O414" s="68" t="s">
        <v>30</v>
      </c>
      <c r="P414" s="69">
        <v>45517.656944444403</v>
      </c>
      <c r="Q414" s="70"/>
      <c r="R414" s="70" t="s">
        <v>31</v>
      </c>
      <c r="S414" s="71">
        <v>45498.3930555556</v>
      </c>
      <c r="T414" s="72" t="s">
        <v>46</v>
      </c>
      <c r="U414" s="63">
        <v>45600.632638888899</v>
      </c>
      <c r="V414" s="64">
        <v>-62</v>
      </c>
    </row>
    <row r="415" spans="1:22" ht="11.25" x14ac:dyDescent="0.2">
      <c r="A415" s="65">
        <v>307035</v>
      </c>
      <c r="B415" s="65" t="s">
        <v>1557</v>
      </c>
      <c r="C415" s="66" t="s">
        <v>1558</v>
      </c>
      <c r="D415" s="66" t="s">
        <v>1558</v>
      </c>
      <c r="E415" s="67" t="s">
        <v>673</v>
      </c>
      <c r="F415" s="66" t="s">
        <v>674</v>
      </c>
      <c r="G415" s="67" t="s">
        <v>23</v>
      </c>
      <c r="H415" s="65" t="s">
        <v>22</v>
      </c>
      <c r="I415" s="67" t="s">
        <v>24</v>
      </c>
      <c r="J415" s="67" t="s">
        <v>226</v>
      </c>
      <c r="K415" s="67" t="s">
        <v>227</v>
      </c>
      <c r="L415" s="65" t="s">
        <v>36</v>
      </c>
      <c r="M415" s="68" t="s">
        <v>37</v>
      </c>
      <c r="N415" s="68" t="s">
        <v>29</v>
      </c>
      <c r="O415" s="68" t="s">
        <v>30</v>
      </c>
      <c r="P415" s="69">
        <v>45517.676388888904</v>
      </c>
      <c r="Q415" s="70"/>
      <c r="R415" s="70" t="s">
        <v>31</v>
      </c>
      <c r="S415" s="71">
        <v>45497.704861111102</v>
      </c>
      <c r="T415" s="72" t="s">
        <v>85</v>
      </c>
      <c r="U415" s="63">
        <v>45600.632638888899</v>
      </c>
      <c r="V415" s="64">
        <v>-62</v>
      </c>
    </row>
    <row r="416" spans="1:22" ht="11.25" x14ac:dyDescent="0.2">
      <c r="A416" s="65">
        <v>307036</v>
      </c>
      <c r="B416" s="65" t="s">
        <v>1559</v>
      </c>
      <c r="C416" s="66" t="s">
        <v>1560</v>
      </c>
      <c r="D416" s="66" t="s">
        <v>1560</v>
      </c>
      <c r="E416" s="67" t="s">
        <v>159</v>
      </c>
      <c r="F416" s="66" t="s">
        <v>160</v>
      </c>
      <c r="G416" s="67" t="s">
        <v>23</v>
      </c>
      <c r="H416" s="65" t="s">
        <v>179</v>
      </c>
      <c r="I416" s="67" t="s">
        <v>180</v>
      </c>
      <c r="J416" s="67" t="s">
        <v>1242</v>
      </c>
      <c r="K416" s="67" t="s">
        <v>1243</v>
      </c>
      <c r="L416" s="65" t="s">
        <v>36</v>
      </c>
      <c r="M416" s="68" t="s">
        <v>37</v>
      </c>
      <c r="N416" s="68" t="s">
        <v>51</v>
      </c>
      <c r="O416" s="68" t="s">
        <v>52</v>
      </c>
      <c r="P416" s="69"/>
      <c r="Q416" s="70"/>
      <c r="R416" s="70" t="s">
        <v>31</v>
      </c>
      <c r="S416" s="71">
        <v>45498.526388888902</v>
      </c>
      <c r="T416" s="72" t="s">
        <v>161</v>
      </c>
      <c r="U416" s="63">
        <v>45588.526388888902</v>
      </c>
      <c r="V416" s="64">
        <v>-50</v>
      </c>
    </row>
    <row r="417" spans="1:22" ht="11.25" x14ac:dyDescent="0.2">
      <c r="A417" s="65">
        <v>307038</v>
      </c>
      <c r="B417" s="65" t="s">
        <v>1563</v>
      </c>
      <c r="C417" s="66" t="s">
        <v>1564</v>
      </c>
      <c r="D417" s="66" t="s">
        <v>1564</v>
      </c>
      <c r="E417" s="67" t="s">
        <v>86</v>
      </c>
      <c r="F417" s="66" t="s">
        <v>87</v>
      </c>
      <c r="G417" s="67" t="s">
        <v>23</v>
      </c>
      <c r="H417" s="65" t="s">
        <v>22</v>
      </c>
      <c r="I417" s="67" t="s">
        <v>24</v>
      </c>
      <c r="J417" s="67" t="s">
        <v>509</v>
      </c>
      <c r="K417" s="67" t="s">
        <v>510</v>
      </c>
      <c r="L417" s="65" t="s">
        <v>36</v>
      </c>
      <c r="M417" s="68" t="s">
        <v>37</v>
      </c>
      <c r="N417" s="68" t="s">
        <v>29</v>
      </c>
      <c r="O417" s="68" t="s">
        <v>30</v>
      </c>
      <c r="P417" s="69"/>
      <c r="Q417" s="70"/>
      <c r="R417" s="70" t="s">
        <v>31</v>
      </c>
      <c r="S417" s="71">
        <v>45495.5090277778</v>
      </c>
      <c r="T417" s="72" t="s">
        <v>85</v>
      </c>
      <c r="U417" s="63">
        <v>45600.632638888899</v>
      </c>
      <c r="V417" s="64">
        <v>-62</v>
      </c>
    </row>
    <row r="418" spans="1:22" ht="11.25" x14ac:dyDescent="0.2">
      <c r="A418" s="65">
        <v>307039</v>
      </c>
      <c r="B418" s="65" t="s">
        <v>1565</v>
      </c>
      <c r="C418" s="66" t="s">
        <v>1566</v>
      </c>
      <c r="D418" s="66" t="s">
        <v>1566</v>
      </c>
      <c r="E418" s="67" t="s">
        <v>86</v>
      </c>
      <c r="F418" s="66" t="s">
        <v>87</v>
      </c>
      <c r="G418" s="67" t="s">
        <v>23</v>
      </c>
      <c r="H418" s="65" t="s">
        <v>22</v>
      </c>
      <c r="I418" s="67" t="s">
        <v>24</v>
      </c>
      <c r="J418" s="67" t="s">
        <v>509</v>
      </c>
      <c r="K418" s="67" t="s">
        <v>510</v>
      </c>
      <c r="L418" s="65" t="s">
        <v>36</v>
      </c>
      <c r="M418" s="68" t="s">
        <v>37</v>
      </c>
      <c r="N418" s="68" t="s">
        <v>29</v>
      </c>
      <c r="O418" s="68" t="s">
        <v>30</v>
      </c>
      <c r="P418" s="69"/>
      <c r="Q418" s="70"/>
      <c r="R418" s="70" t="s">
        <v>31</v>
      </c>
      <c r="S418" s="71">
        <v>45495.529166666704</v>
      </c>
      <c r="T418" s="72" t="s">
        <v>85</v>
      </c>
      <c r="U418" s="63">
        <v>45600.632638888899</v>
      </c>
      <c r="V418" s="64">
        <v>-62</v>
      </c>
    </row>
    <row r="419" spans="1:22" ht="11.25" x14ac:dyDescent="0.2">
      <c r="A419" s="65">
        <v>307040</v>
      </c>
      <c r="B419" s="65" t="s">
        <v>1567</v>
      </c>
      <c r="C419" s="66" t="s">
        <v>1568</v>
      </c>
      <c r="D419" s="66" t="s">
        <v>1568</v>
      </c>
      <c r="E419" s="67" t="s">
        <v>86</v>
      </c>
      <c r="F419" s="66" t="s">
        <v>87</v>
      </c>
      <c r="G419" s="67" t="s">
        <v>23</v>
      </c>
      <c r="H419" s="65" t="s">
        <v>1569</v>
      </c>
      <c r="I419" s="67" t="s">
        <v>1570</v>
      </c>
      <c r="J419" s="67" t="s">
        <v>509</v>
      </c>
      <c r="K419" s="67" t="s">
        <v>510</v>
      </c>
      <c r="L419" s="65" t="s">
        <v>36</v>
      </c>
      <c r="M419" s="68" t="s">
        <v>37</v>
      </c>
      <c r="N419" s="68" t="s">
        <v>57</v>
      </c>
      <c r="O419" s="68" t="s">
        <v>58</v>
      </c>
      <c r="P419" s="69"/>
      <c r="Q419" s="70"/>
      <c r="R419" s="70" t="s">
        <v>31</v>
      </c>
      <c r="S419" s="71">
        <v>45495.536111111098</v>
      </c>
      <c r="T419" s="72" t="s">
        <v>85</v>
      </c>
      <c r="U419" s="63">
        <v>45600.632638888899</v>
      </c>
      <c r="V419" s="64">
        <v>-62</v>
      </c>
    </row>
    <row r="420" spans="1:22" ht="11.25" x14ac:dyDescent="0.2">
      <c r="A420" s="65">
        <v>307041</v>
      </c>
      <c r="B420" s="65" t="s">
        <v>1571</v>
      </c>
      <c r="C420" s="66" t="s">
        <v>1572</v>
      </c>
      <c r="D420" s="66" t="s">
        <v>1572</v>
      </c>
      <c r="E420" s="67" t="s">
        <v>673</v>
      </c>
      <c r="F420" s="66" t="s">
        <v>674</v>
      </c>
      <c r="G420" s="67" t="s">
        <v>23</v>
      </c>
      <c r="H420" s="65" t="s">
        <v>179</v>
      </c>
      <c r="I420" s="67" t="s">
        <v>180</v>
      </c>
      <c r="J420" s="67" t="s">
        <v>226</v>
      </c>
      <c r="K420" s="67" t="s">
        <v>227</v>
      </c>
      <c r="L420" s="65" t="s">
        <v>36</v>
      </c>
      <c r="M420" s="68" t="s">
        <v>37</v>
      </c>
      <c r="N420" s="68" t="s">
        <v>57</v>
      </c>
      <c r="O420" s="68" t="s">
        <v>58</v>
      </c>
      <c r="P420" s="69"/>
      <c r="Q420" s="70"/>
      <c r="R420" s="70" t="s">
        <v>31</v>
      </c>
      <c r="S420" s="71">
        <v>45498.710416666698</v>
      </c>
      <c r="T420" s="72" t="s">
        <v>85</v>
      </c>
      <c r="U420" s="63">
        <v>45588.710416666698</v>
      </c>
      <c r="V420" s="64">
        <v>-50</v>
      </c>
    </row>
    <row r="421" spans="1:22" ht="11.25" x14ac:dyDescent="0.2">
      <c r="A421" s="65">
        <v>307042</v>
      </c>
      <c r="B421" s="65" t="s">
        <v>1573</v>
      </c>
      <c r="C421" s="66" t="s">
        <v>1574</v>
      </c>
      <c r="D421" s="66" t="s">
        <v>1574</v>
      </c>
      <c r="E421" s="67" t="s">
        <v>86</v>
      </c>
      <c r="F421" s="66" t="s">
        <v>87</v>
      </c>
      <c r="G421" s="67" t="s">
        <v>23</v>
      </c>
      <c r="H421" s="65" t="s">
        <v>22</v>
      </c>
      <c r="I421" s="67" t="s">
        <v>24</v>
      </c>
      <c r="J421" s="67" t="s">
        <v>509</v>
      </c>
      <c r="K421" s="67" t="s">
        <v>510</v>
      </c>
      <c r="L421" s="65" t="s">
        <v>36</v>
      </c>
      <c r="M421" s="68" t="s">
        <v>37</v>
      </c>
      <c r="N421" s="68" t="s">
        <v>83</v>
      </c>
      <c r="O421" s="68" t="s">
        <v>84</v>
      </c>
      <c r="P421" s="69"/>
      <c r="Q421" s="70"/>
      <c r="R421" s="70" t="s">
        <v>31</v>
      </c>
      <c r="S421" s="71">
        <v>45496.356249999997</v>
      </c>
      <c r="T421" s="72" t="s">
        <v>85</v>
      </c>
      <c r="U421" s="63">
        <v>45600.632638888899</v>
      </c>
      <c r="V421" s="64">
        <v>-62</v>
      </c>
    </row>
    <row r="422" spans="1:22" ht="11.25" x14ac:dyDescent="0.2">
      <c r="A422" s="65">
        <v>307043</v>
      </c>
      <c r="B422" s="65" t="s">
        <v>1575</v>
      </c>
      <c r="C422" s="66" t="s">
        <v>1576</v>
      </c>
      <c r="D422" s="66" t="s">
        <v>1576</v>
      </c>
      <c r="E422" s="67" t="s">
        <v>86</v>
      </c>
      <c r="F422" s="66" t="s">
        <v>87</v>
      </c>
      <c r="G422" s="67" t="s">
        <v>23</v>
      </c>
      <c r="H422" s="65" t="s">
        <v>22</v>
      </c>
      <c r="I422" s="67" t="s">
        <v>24</v>
      </c>
      <c r="J422" s="67" t="s">
        <v>509</v>
      </c>
      <c r="K422" s="67" t="s">
        <v>510</v>
      </c>
      <c r="L422" s="65" t="s">
        <v>36</v>
      </c>
      <c r="M422" s="68" t="s">
        <v>37</v>
      </c>
      <c r="N422" s="68" t="s">
        <v>83</v>
      </c>
      <c r="O422" s="68" t="s">
        <v>84</v>
      </c>
      <c r="P422" s="69"/>
      <c r="Q422" s="70"/>
      <c r="R422" s="70" t="s">
        <v>31</v>
      </c>
      <c r="S422" s="71">
        <v>45496.276388888902</v>
      </c>
      <c r="T422" s="72" t="s">
        <v>85</v>
      </c>
      <c r="U422" s="63">
        <v>45600.632638888899</v>
      </c>
      <c r="V422" s="64">
        <v>-62</v>
      </c>
    </row>
    <row r="423" spans="1:22" ht="11.25" x14ac:dyDescent="0.2">
      <c r="A423" s="65">
        <v>307044</v>
      </c>
      <c r="B423" s="65" t="s">
        <v>1577</v>
      </c>
      <c r="C423" s="66" t="s">
        <v>1578</v>
      </c>
      <c r="D423" s="66" t="s">
        <v>1578</v>
      </c>
      <c r="E423" s="67" t="s">
        <v>86</v>
      </c>
      <c r="F423" s="66" t="s">
        <v>87</v>
      </c>
      <c r="G423" s="67" t="s">
        <v>23</v>
      </c>
      <c r="H423" s="65" t="s">
        <v>22</v>
      </c>
      <c r="I423" s="67" t="s">
        <v>24</v>
      </c>
      <c r="J423" s="67" t="s">
        <v>509</v>
      </c>
      <c r="K423" s="67" t="s">
        <v>510</v>
      </c>
      <c r="L423" s="65" t="s">
        <v>36</v>
      </c>
      <c r="M423" s="68" t="s">
        <v>37</v>
      </c>
      <c r="N423" s="68" t="s">
        <v>29</v>
      </c>
      <c r="O423" s="68" t="s">
        <v>30</v>
      </c>
      <c r="P423" s="69"/>
      <c r="Q423" s="70"/>
      <c r="R423" s="70" t="s">
        <v>31</v>
      </c>
      <c r="S423" s="71">
        <v>45496.288888888899</v>
      </c>
      <c r="T423" s="72" t="s">
        <v>85</v>
      </c>
      <c r="U423" s="63">
        <v>45600.632638888899</v>
      </c>
      <c r="V423" s="64">
        <v>-62</v>
      </c>
    </row>
    <row r="424" spans="1:22" ht="11.25" x14ac:dyDescent="0.2">
      <c r="A424" s="65">
        <v>307048</v>
      </c>
      <c r="B424" s="65" t="s">
        <v>1579</v>
      </c>
      <c r="C424" s="66" t="s">
        <v>1580</v>
      </c>
      <c r="D424" s="66" t="s">
        <v>1580</v>
      </c>
      <c r="E424" s="67" t="s">
        <v>1489</v>
      </c>
      <c r="F424" s="66" t="s">
        <v>1490</v>
      </c>
      <c r="G424" s="67" t="s">
        <v>48</v>
      </c>
      <c r="H424" s="65" t="s">
        <v>179</v>
      </c>
      <c r="I424" s="67" t="s">
        <v>180</v>
      </c>
      <c r="J424" s="67" t="s">
        <v>1169</v>
      </c>
      <c r="K424" s="67" t="s">
        <v>1170</v>
      </c>
      <c r="L424" s="65" t="s">
        <v>36</v>
      </c>
      <c r="M424" s="68" t="s">
        <v>37</v>
      </c>
      <c r="N424" s="68" t="s">
        <v>57</v>
      </c>
      <c r="O424" s="68" t="s">
        <v>58</v>
      </c>
      <c r="P424" s="69"/>
      <c r="Q424" s="70"/>
      <c r="R424" s="70" t="s">
        <v>31</v>
      </c>
      <c r="S424" s="71">
        <v>45491.360416666699</v>
      </c>
      <c r="T424" s="72" t="s">
        <v>1581</v>
      </c>
      <c r="U424" s="63">
        <v>45581.360416666699</v>
      </c>
      <c r="V424" s="64">
        <v>-43</v>
      </c>
    </row>
    <row r="425" spans="1:22" ht="11.25" x14ac:dyDescent="0.2">
      <c r="A425" s="65">
        <v>307049</v>
      </c>
      <c r="B425" s="65" t="s">
        <v>1582</v>
      </c>
      <c r="C425" s="66" t="s">
        <v>1583</v>
      </c>
      <c r="D425" s="66" t="s">
        <v>1583</v>
      </c>
      <c r="E425" s="67" t="s">
        <v>1584</v>
      </c>
      <c r="F425" s="66" t="s">
        <v>1585</v>
      </c>
      <c r="G425" s="67" t="s">
        <v>33</v>
      </c>
      <c r="H425" s="65" t="s">
        <v>179</v>
      </c>
      <c r="I425" s="67" t="s">
        <v>180</v>
      </c>
      <c r="J425" s="67" t="s">
        <v>1169</v>
      </c>
      <c r="K425" s="67" t="s">
        <v>1170</v>
      </c>
      <c r="L425" s="65" t="s">
        <v>36</v>
      </c>
      <c r="M425" s="68" t="s">
        <v>37</v>
      </c>
      <c r="N425" s="68" t="s">
        <v>57</v>
      </c>
      <c r="O425" s="68" t="s">
        <v>58</v>
      </c>
      <c r="P425" s="69"/>
      <c r="Q425" s="70"/>
      <c r="R425" s="70" t="s">
        <v>31</v>
      </c>
      <c r="S425" s="71">
        <v>45509.360416666699</v>
      </c>
      <c r="T425" s="72" t="s">
        <v>167</v>
      </c>
      <c r="U425" s="63">
        <v>45599.360416666699</v>
      </c>
      <c r="V425" s="64">
        <v>-61</v>
      </c>
    </row>
    <row r="426" spans="1:22" ht="11.25" x14ac:dyDescent="0.2">
      <c r="A426" s="65">
        <v>307052</v>
      </c>
      <c r="B426" s="65" t="s">
        <v>1586</v>
      </c>
      <c r="C426" s="66" t="s">
        <v>1587</v>
      </c>
      <c r="D426" s="66" t="s">
        <v>1587</v>
      </c>
      <c r="E426" s="67" t="s">
        <v>1202</v>
      </c>
      <c r="F426" s="66" t="s">
        <v>1203</v>
      </c>
      <c r="G426" s="67" t="s">
        <v>33</v>
      </c>
      <c r="H426" s="65" t="s">
        <v>179</v>
      </c>
      <c r="I426" s="67" t="s">
        <v>180</v>
      </c>
      <c r="J426" s="67" t="s">
        <v>1588</v>
      </c>
      <c r="K426" s="67" t="s">
        <v>1588</v>
      </c>
      <c r="L426" s="65" t="s">
        <v>36</v>
      </c>
      <c r="M426" s="68" t="s">
        <v>37</v>
      </c>
      <c r="N426" s="68" t="s">
        <v>76</v>
      </c>
      <c r="O426" s="68" t="s">
        <v>77</v>
      </c>
      <c r="P426" s="69"/>
      <c r="Q426" s="70"/>
      <c r="R426" s="70" t="s">
        <v>31</v>
      </c>
      <c r="S426" s="71">
        <v>45505.505555555603</v>
      </c>
      <c r="T426" s="72" t="s">
        <v>969</v>
      </c>
      <c r="U426" s="63">
        <v>45595.505555555603</v>
      </c>
      <c r="V426" s="64">
        <v>-57</v>
      </c>
    </row>
    <row r="427" spans="1:22" ht="11.25" x14ac:dyDescent="0.2">
      <c r="A427" s="65">
        <v>307053</v>
      </c>
      <c r="B427" s="65" t="s">
        <v>1589</v>
      </c>
      <c r="C427" s="66" t="s">
        <v>1590</v>
      </c>
      <c r="D427" s="66" t="s">
        <v>1591</v>
      </c>
      <c r="E427" s="67" t="s">
        <v>574</v>
      </c>
      <c r="F427" s="66" t="s">
        <v>575</v>
      </c>
      <c r="G427" s="67" t="s">
        <v>222</v>
      </c>
      <c r="H427" s="65" t="s">
        <v>49</v>
      </c>
      <c r="I427" s="67" t="s">
        <v>50</v>
      </c>
      <c r="J427" s="67" t="s">
        <v>1217</v>
      </c>
      <c r="K427" s="67" t="s">
        <v>992</v>
      </c>
      <c r="L427" s="65" t="s">
        <v>237</v>
      </c>
      <c r="M427" s="68" t="s">
        <v>238</v>
      </c>
      <c r="N427" s="68" t="s">
        <v>83</v>
      </c>
      <c r="O427" s="68" t="s">
        <v>84</v>
      </c>
      <c r="P427" s="69">
        <v>45513.4909722222</v>
      </c>
      <c r="Q427" s="70"/>
      <c r="R427" s="70" t="s">
        <v>40</v>
      </c>
      <c r="S427" s="71">
        <v>45509.6875</v>
      </c>
      <c r="T427" s="72"/>
      <c r="U427" s="63">
        <v>45510.686805555597</v>
      </c>
      <c r="V427" s="64">
        <v>28</v>
      </c>
    </row>
    <row r="428" spans="1:22" ht="11.25" x14ac:dyDescent="0.2">
      <c r="A428" s="65">
        <v>307054</v>
      </c>
      <c r="B428" s="65" t="s">
        <v>1592</v>
      </c>
      <c r="C428" s="66" t="s">
        <v>1593</v>
      </c>
      <c r="D428" s="66" t="s">
        <v>1593</v>
      </c>
      <c r="E428" s="67" t="s">
        <v>574</v>
      </c>
      <c r="F428" s="66" t="s">
        <v>575</v>
      </c>
      <c r="G428" s="67" t="s">
        <v>222</v>
      </c>
      <c r="H428" s="65" t="s">
        <v>34</v>
      </c>
      <c r="I428" s="67" t="s">
        <v>35</v>
      </c>
      <c r="J428" s="67" t="s">
        <v>1217</v>
      </c>
      <c r="K428" s="67" t="s">
        <v>992</v>
      </c>
      <c r="L428" s="65" t="s">
        <v>237</v>
      </c>
      <c r="M428" s="68" t="s">
        <v>238</v>
      </c>
      <c r="N428" s="68" t="s">
        <v>90</v>
      </c>
      <c r="O428" s="68" t="s">
        <v>91</v>
      </c>
      <c r="P428" s="69">
        <v>45511.343055555597</v>
      </c>
      <c r="Q428" s="70"/>
      <c r="R428" s="70" t="s">
        <v>40</v>
      </c>
      <c r="S428" s="71">
        <v>45510.342361111099</v>
      </c>
      <c r="T428" s="72"/>
      <c r="U428" s="63">
        <v>45511.342361111099</v>
      </c>
      <c r="V428" s="64">
        <v>27</v>
      </c>
    </row>
    <row r="429" spans="1:22" ht="11.25" x14ac:dyDescent="0.2">
      <c r="A429" s="65">
        <v>307055</v>
      </c>
      <c r="B429" s="65" t="s">
        <v>1594</v>
      </c>
      <c r="C429" s="66" t="s">
        <v>1595</v>
      </c>
      <c r="D429" s="66" t="s">
        <v>1595</v>
      </c>
      <c r="E429" s="67" t="s">
        <v>574</v>
      </c>
      <c r="F429" s="66" t="s">
        <v>575</v>
      </c>
      <c r="G429" s="67" t="s">
        <v>222</v>
      </c>
      <c r="H429" s="65" t="s">
        <v>34</v>
      </c>
      <c r="I429" s="67" t="s">
        <v>35</v>
      </c>
      <c r="J429" s="67" t="s">
        <v>576</v>
      </c>
      <c r="K429" s="67" t="s">
        <v>577</v>
      </c>
      <c r="L429" s="65" t="s">
        <v>237</v>
      </c>
      <c r="M429" s="68" t="s">
        <v>238</v>
      </c>
      <c r="N429" s="68" t="s">
        <v>83</v>
      </c>
      <c r="O429" s="68" t="s">
        <v>84</v>
      </c>
      <c r="P429" s="69">
        <v>45512.333333333299</v>
      </c>
      <c r="Q429" s="70"/>
      <c r="R429" s="70" t="s">
        <v>40</v>
      </c>
      <c r="S429" s="71">
        <v>45511.5</v>
      </c>
      <c r="T429" s="72"/>
      <c r="U429" s="63">
        <v>45511.659722222197</v>
      </c>
      <c r="V429" s="64">
        <v>27</v>
      </c>
    </row>
    <row r="430" spans="1:22" ht="11.25" x14ac:dyDescent="0.2">
      <c r="A430" s="65">
        <v>307056</v>
      </c>
      <c r="B430" s="65" t="s">
        <v>1596</v>
      </c>
      <c r="C430" s="66" t="s">
        <v>1597</v>
      </c>
      <c r="D430" s="66" t="s">
        <v>1598</v>
      </c>
      <c r="E430" s="67" t="s">
        <v>1599</v>
      </c>
      <c r="F430" s="66" t="s">
        <v>1600</v>
      </c>
      <c r="G430" s="67" t="s">
        <v>33</v>
      </c>
      <c r="H430" s="65" t="s">
        <v>467</v>
      </c>
      <c r="I430" s="67" t="s">
        <v>468</v>
      </c>
      <c r="J430" s="67" t="s">
        <v>1601</v>
      </c>
      <c r="K430" s="67" t="s">
        <v>1602</v>
      </c>
      <c r="L430" s="65" t="s">
        <v>36</v>
      </c>
      <c r="M430" s="68" t="s">
        <v>37</v>
      </c>
      <c r="N430" s="68" t="s">
        <v>38</v>
      </c>
      <c r="O430" s="68" t="s">
        <v>39</v>
      </c>
      <c r="P430" s="69">
        <v>45520.354166666701</v>
      </c>
      <c r="Q430" s="70">
        <v>45525.708333333299</v>
      </c>
      <c r="R430" s="70" t="s">
        <v>31</v>
      </c>
      <c r="S430" s="71">
        <v>45511.609722222202</v>
      </c>
      <c r="T430" s="72"/>
      <c r="U430" s="63">
        <v>45601.679861111101</v>
      </c>
      <c r="V430" s="64">
        <v>-63</v>
      </c>
    </row>
    <row r="431" spans="1:22" ht="11.25" x14ac:dyDescent="0.2">
      <c r="A431" s="65">
        <v>307058</v>
      </c>
      <c r="B431" s="65" t="s">
        <v>1603</v>
      </c>
      <c r="C431" s="66" t="s">
        <v>1604</v>
      </c>
      <c r="D431" s="66" t="s">
        <v>1605</v>
      </c>
      <c r="E431" s="67" t="s">
        <v>1606</v>
      </c>
      <c r="F431" s="66" t="s">
        <v>1607</v>
      </c>
      <c r="G431" s="67" t="s">
        <v>33</v>
      </c>
      <c r="H431" s="65" t="s">
        <v>34</v>
      </c>
      <c r="I431" s="67" t="s">
        <v>35</v>
      </c>
      <c r="J431" s="67" t="s">
        <v>1608</v>
      </c>
      <c r="K431" s="67" t="s">
        <v>1609</v>
      </c>
      <c r="L431" s="65" t="s">
        <v>36</v>
      </c>
      <c r="M431" s="68" t="s">
        <v>37</v>
      </c>
      <c r="N431" s="68" t="s">
        <v>76</v>
      </c>
      <c r="O431" s="68" t="s">
        <v>77</v>
      </c>
      <c r="P431" s="69"/>
      <c r="Q431" s="70"/>
      <c r="R431" s="70" t="s">
        <v>31</v>
      </c>
      <c r="S431" s="71">
        <v>45356.383333333302</v>
      </c>
      <c r="T431" s="72"/>
      <c r="U431" s="63">
        <v>45602.379861111098</v>
      </c>
      <c r="V431" s="64">
        <v>-64</v>
      </c>
    </row>
    <row r="432" spans="1:22" ht="11.25" x14ac:dyDescent="0.2">
      <c r="A432" s="65">
        <v>307066</v>
      </c>
      <c r="B432" s="65" t="s">
        <v>1613</v>
      </c>
      <c r="C432" s="66" t="s">
        <v>1614</v>
      </c>
      <c r="D432" s="66" t="s">
        <v>1615</v>
      </c>
      <c r="E432" s="67" t="s">
        <v>574</v>
      </c>
      <c r="F432" s="66" t="s">
        <v>575</v>
      </c>
      <c r="G432" s="67" t="s">
        <v>222</v>
      </c>
      <c r="H432" s="65" t="s">
        <v>34</v>
      </c>
      <c r="I432" s="67" t="s">
        <v>35</v>
      </c>
      <c r="J432" s="67" t="s">
        <v>1616</v>
      </c>
      <c r="K432" s="67" t="s">
        <v>1617</v>
      </c>
      <c r="L432" s="65" t="s">
        <v>27</v>
      </c>
      <c r="M432" s="68" t="s">
        <v>28</v>
      </c>
      <c r="N432" s="68" t="s">
        <v>29</v>
      </c>
      <c r="O432" s="68" t="s">
        <v>30</v>
      </c>
      <c r="P432" s="69">
        <v>45513.5715277778</v>
      </c>
      <c r="Q432" s="70"/>
      <c r="R432" s="70" t="s">
        <v>40</v>
      </c>
      <c r="S432" s="71">
        <v>45511.570138888899</v>
      </c>
      <c r="T432" s="72"/>
      <c r="U432" s="63">
        <v>45512.568055555603</v>
      </c>
      <c r="V432" s="64">
        <v>26</v>
      </c>
    </row>
    <row r="433" spans="1:22" ht="11.25" x14ac:dyDescent="0.2">
      <c r="A433" s="65">
        <v>307067</v>
      </c>
      <c r="B433" s="65" t="s">
        <v>1618</v>
      </c>
      <c r="C433" s="66" t="s">
        <v>1619</v>
      </c>
      <c r="D433" s="66" t="s">
        <v>1620</v>
      </c>
      <c r="E433" s="67" t="s">
        <v>136</v>
      </c>
      <c r="F433" s="66" t="s">
        <v>137</v>
      </c>
      <c r="G433" s="67" t="s">
        <v>23</v>
      </c>
      <c r="H433" s="65" t="s">
        <v>179</v>
      </c>
      <c r="I433" s="67" t="s">
        <v>180</v>
      </c>
      <c r="J433" s="67" t="s">
        <v>226</v>
      </c>
      <c r="K433" s="67" t="s">
        <v>227</v>
      </c>
      <c r="L433" s="65" t="s">
        <v>36</v>
      </c>
      <c r="M433" s="68" t="s">
        <v>37</v>
      </c>
      <c r="N433" s="68" t="s">
        <v>29</v>
      </c>
      <c r="O433" s="68" t="s">
        <v>30</v>
      </c>
      <c r="P433" s="69"/>
      <c r="Q433" s="70"/>
      <c r="R433" s="70" t="s">
        <v>31</v>
      </c>
      <c r="S433" s="71">
        <v>45506.338194444397</v>
      </c>
      <c r="T433" s="72"/>
      <c r="U433" s="63">
        <v>45602.629861111098</v>
      </c>
      <c r="V433" s="64">
        <v>-64</v>
      </c>
    </row>
    <row r="434" spans="1:22" ht="11.25" x14ac:dyDescent="0.2">
      <c r="A434" s="65">
        <v>307072</v>
      </c>
      <c r="B434" s="65" t="s">
        <v>1621</v>
      </c>
      <c r="C434" s="66" t="s">
        <v>1622</v>
      </c>
      <c r="D434" s="66" t="s">
        <v>1623</v>
      </c>
      <c r="E434" s="67" t="s">
        <v>92</v>
      </c>
      <c r="F434" s="66" t="s">
        <v>93</v>
      </c>
      <c r="G434" s="67" t="s">
        <v>23</v>
      </c>
      <c r="H434" s="65" t="s">
        <v>179</v>
      </c>
      <c r="I434" s="67" t="s">
        <v>180</v>
      </c>
      <c r="J434" s="67" t="s">
        <v>66</v>
      </c>
      <c r="K434" s="67" t="s">
        <v>67</v>
      </c>
      <c r="L434" s="65" t="s">
        <v>36</v>
      </c>
      <c r="M434" s="68" t="s">
        <v>37</v>
      </c>
      <c r="N434" s="68" t="s">
        <v>76</v>
      </c>
      <c r="O434" s="68" t="s">
        <v>77</v>
      </c>
      <c r="P434" s="69"/>
      <c r="Q434" s="70"/>
      <c r="R434" s="70" t="s">
        <v>31</v>
      </c>
      <c r="S434" s="71">
        <v>45513.559722222199</v>
      </c>
      <c r="T434" s="72"/>
      <c r="U434" s="63">
        <v>45604.504166666702</v>
      </c>
      <c r="V434" s="64">
        <v>-66</v>
      </c>
    </row>
    <row r="435" spans="1:22" ht="11.25" x14ac:dyDescent="0.2">
      <c r="A435" s="65">
        <v>307073</v>
      </c>
      <c r="B435" s="65" t="s">
        <v>1624</v>
      </c>
      <c r="C435" s="66" t="s">
        <v>1625</v>
      </c>
      <c r="D435" s="66" t="s">
        <v>1626</v>
      </c>
      <c r="E435" s="67" t="s">
        <v>261</v>
      </c>
      <c r="F435" s="66" t="s">
        <v>262</v>
      </c>
      <c r="G435" s="67" t="s">
        <v>33</v>
      </c>
      <c r="H435" s="65" t="s">
        <v>34</v>
      </c>
      <c r="I435" s="67" t="s">
        <v>35</v>
      </c>
      <c r="J435" s="67" t="s">
        <v>1627</v>
      </c>
      <c r="K435" s="67" t="s">
        <v>1628</v>
      </c>
      <c r="L435" s="65" t="s">
        <v>36</v>
      </c>
      <c r="M435" s="68" t="s">
        <v>37</v>
      </c>
      <c r="N435" s="68" t="s">
        <v>76</v>
      </c>
      <c r="O435" s="68" t="s">
        <v>77</v>
      </c>
      <c r="P435" s="69">
        <v>45520.514583333301</v>
      </c>
      <c r="Q435" s="70"/>
      <c r="R435" s="70" t="s">
        <v>31</v>
      </c>
      <c r="S435" s="71">
        <v>45513.6027777778</v>
      </c>
      <c r="T435" s="72"/>
      <c r="U435" s="63">
        <v>45604.5131944444</v>
      </c>
      <c r="V435" s="64">
        <v>-66</v>
      </c>
    </row>
    <row r="436" spans="1:22" ht="11.25" x14ac:dyDescent="0.2">
      <c r="A436" s="65">
        <v>307074</v>
      </c>
      <c r="B436" s="65" t="s">
        <v>1629</v>
      </c>
      <c r="C436" s="66" t="s">
        <v>1630</v>
      </c>
      <c r="D436" s="66" t="s">
        <v>1631</v>
      </c>
      <c r="E436" s="67" t="s">
        <v>1632</v>
      </c>
      <c r="F436" s="66" t="s">
        <v>1633</v>
      </c>
      <c r="G436" s="67" t="s">
        <v>33</v>
      </c>
      <c r="H436" s="65" t="s">
        <v>34</v>
      </c>
      <c r="I436" s="67" t="s">
        <v>35</v>
      </c>
      <c r="J436" s="67" t="s">
        <v>66</v>
      </c>
      <c r="K436" s="67" t="s">
        <v>67</v>
      </c>
      <c r="L436" s="65" t="s">
        <v>36</v>
      </c>
      <c r="M436" s="68" t="s">
        <v>37</v>
      </c>
      <c r="N436" s="68" t="s">
        <v>57</v>
      </c>
      <c r="O436" s="68" t="s">
        <v>58</v>
      </c>
      <c r="P436" s="69">
        <v>45516.671527777798</v>
      </c>
      <c r="Q436" s="70"/>
      <c r="R436" s="70" t="s">
        <v>31</v>
      </c>
      <c r="S436" s="71">
        <v>45513.626388888901</v>
      </c>
      <c r="T436" s="72"/>
      <c r="U436" s="63">
        <v>45606.372916666704</v>
      </c>
      <c r="V436" s="64">
        <v>-68</v>
      </c>
    </row>
    <row r="437" spans="1:22" ht="11.25" x14ac:dyDescent="0.2">
      <c r="A437" s="65">
        <v>307076</v>
      </c>
      <c r="B437" s="65" t="s">
        <v>1634</v>
      </c>
      <c r="C437" s="66" t="s">
        <v>1635</v>
      </c>
      <c r="D437" s="66" t="s">
        <v>1636</v>
      </c>
      <c r="E437" s="67" t="s">
        <v>207</v>
      </c>
      <c r="F437" s="66" t="s">
        <v>208</v>
      </c>
      <c r="G437" s="67" t="s">
        <v>23</v>
      </c>
      <c r="H437" s="65" t="s">
        <v>34</v>
      </c>
      <c r="I437" s="67" t="s">
        <v>35</v>
      </c>
      <c r="J437" s="67" t="s">
        <v>866</v>
      </c>
      <c r="K437" s="67" t="s">
        <v>867</v>
      </c>
      <c r="L437" s="65" t="s">
        <v>36</v>
      </c>
      <c r="M437" s="68" t="s">
        <v>37</v>
      </c>
      <c r="N437" s="68" t="s">
        <v>76</v>
      </c>
      <c r="O437" s="68" t="s">
        <v>77</v>
      </c>
      <c r="P437" s="69">
        <v>45516.520138888904</v>
      </c>
      <c r="Q437" s="70"/>
      <c r="R437" s="70" t="s">
        <v>31</v>
      </c>
      <c r="S437" s="71">
        <v>45516.474999999999</v>
      </c>
      <c r="T437" s="72"/>
      <c r="U437" s="63">
        <v>45606.519444444399</v>
      </c>
      <c r="V437" s="64">
        <v>-68</v>
      </c>
    </row>
    <row r="438" spans="1:22" ht="11.25" x14ac:dyDescent="0.2">
      <c r="A438" s="65">
        <v>307077</v>
      </c>
      <c r="B438" s="65" t="s">
        <v>1637</v>
      </c>
      <c r="C438" s="66" t="s">
        <v>1638</v>
      </c>
      <c r="D438" s="66" t="s">
        <v>1639</v>
      </c>
      <c r="E438" s="67" t="s">
        <v>688</v>
      </c>
      <c r="F438" s="66" t="s">
        <v>689</v>
      </c>
      <c r="G438" s="67" t="s">
        <v>33</v>
      </c>
      <c r="H438" s="65" t="s">
        <v>49</v>
      </c>
      <c r="I438" s="67" t="s">
        <v>50</v>
      </c>
      <c r="J438" s="67" t="s">
        <v>1640</v>
      </c>
      <c r="K438" s="67" t="s">
        <v>1641</v>
      </c>
      <c r="L438" s="65" t="s">
        <v>36</v>
      </c>
      <c r="M438" s="68" t="s">
        <v>37</v>
      </c>
      <c r="N438" s="68" t="s">
        <v>83</v>
      </c>
      <c r="O438" s="68" t="s">
        <v>84</v>
      </c>
      <c r="P438" s="69">
        <v>45516.5</v>
      </c>
      <c r="Q438" s="70"/>
      <c r="R438" s="70" t="s">
        <v>31</v>
      </c>
      <c r="S438" s="71">
        <v>45516.479166666701</v>
      </c>
      <c r="T438" s="72"/>
      <c r="U438" s="63">
        <v>45606.527777777803</v>
      </c>
      <c r="V438" s="64">
        <v>-68</v>
      </c>
    </row>
    <row r="439" spans="1:22" ht="11.25" x14ac:dyDescent="0.2">
      <c r="A439" s="65">
        <v>307079</v>
      </c>
      <c r="B439" s="65" t="s">
        <v>1642</v>
      </c>
      <c r="C439" s="66" t="s">
        <v>1643</v>
      </c>
      <c r="D439" s="66" t="s">
        <v>1644</v>
      </c>
      <c r="E439" s="67" t="s">
        <v>1645</v>
      </c>
      <c r="F439" s="66" t="s">
        <v>1646</v>
      </c>
      <c r="G439" s="67" t="s">
        <v>33</v>
      </c>
      <c r="H439" s="65" t="s">
        <v>34</v>
      </c>
      <c r="I439" s="67" t="s">
        <v>35</v>
      </c>
      <c r="J439" s="67" t="s">
        <v>66</v>
      </c>
      <c r="K439" s="67" t="s">
        <v>67</v>
      </c>
      <c r="L439" s="65" t="s">
        <v>36</v>
      </c>
      <c r="M439" s="68" t="s">
        <v>37</v>
      </c>
      <c r="N439" s="68" t="s">
        <v>83</v>
      </c>
      <c r="O439" s="68" t="s">
        <v>84</v>
      </c>
      <c r="P439" s="69">
        <v>45518.566666666702</v>
      </c>
      <c r="Q439" s="70"/>
      <c r="R439" s="70" t="s">
        <v>31</v>
      </c>
      <c r="S439" s="71">
        <v>45513.629861111098</v>
      </c>
      <c r="T439" s="72"/>
      <c r="U439" s="63">
        <v>45606.563888888901</v>
      </c>
      <c r="V439" s="64">
        <v>-68</v>
      </c>
    </row>
    <row r="440" spans="1:22" ht="11.25" x14ac:dyDescent="0.2">
      <c r="A440" s="65">
        <v>307082</v>
      </c>
      <c r="B440" s="65" t="s">
        <v>1655</v>
      </c>
      <c r="C440" s="66" t="s">
        <v>1656</v>
      </c>
      <c r="D440" s="66" t="s">
        <v>1657</v>
      </c>
      <c r="E440" s="67" t="s">
        <v>159</v>
      </c>
      <c r="F440" s="66" t="s">
        <v>160</v>
      </c>
      <c r="G440" s="67" t="s">
        <v>23</v>
      </c>
      <c r="H440" s="65" t="s">
        <v>49</v>
      </c>
      <c r="I440" s="67" t="s">
        <v>50</v>
      </c>
      <c r="J440" s="67" t="s">
        <v>808</v>
      </c>
      <c r="K440" s="67" t="s">
        <v>809</v>
      </c>
      <c r="L440" s="65" t="s">
        <v>36</v>
      </c>
      <c r="M440" s="68" t="s">
        <v>37</v>
      </c>
      <c r="N440" s="68" t="s">
        <v>90</v>
      </c>
      <c r="O440" s="68" t="s">
        <v>91</v>
      </c>
      <c r="P440" s="69">
        <v>45525.333333333299</v>
      </c>
      <c r="Q440" s="70"/>
      <c r="R440" s="70" t="s">
        <v>31</v>
      </c>
      <c r="S440" s="71">
        <v>45518.3256944444</v>
      </c>
      <c r="T440" s="72"/>
      <c r="U440" s="63">
        <v>45608.431944444397</v>
      </c>
      <c r="V440" s="64">
        <v>-70</v>
      </c>
    </row>
    <row r="441" spans="1:22" ht="11.25" x14ac:dyDescent="0.2">
      <c r="A441" s="65">
        <v>307083</v>
      </c>
      <c r="B441" s="65" t="s">
        <v>1658</v>
      </c>
      <c r="C441" s="66" t="s">
        <v>1659</v>
      </c>
      <c r="D441" s="66" t="s">
        <v>1660</v>
      </c>
      <c r="E441" s="67" t="s">
        <v>187</v>
      </c>
      <c r="F441" s="66" t="s">
        <v>188</v>
      </c>
      <c r="G441" s="67" t="s">
        <v>23</v>
      </c>
      <c r="H441" s="65" t="s">
        <v>34</v>
      </c>
      <c r="I441" s="67" t="s">
        <v>35</v>
      </c>
      <c r="J441" s="67" t="s">
        <v>1661</v>
      </c>
      <c r="K441" s="67" t="s">
        <v>1662</v>
      </c>
      <c r="L441" s="65" t="s">
        <v>36</v>
      </c>
      <c r="M441" s="68" t="s">
        <v>37</v>
      </c>
      <c r="N441" s="68" t="s">
        <v>83</v>
      </c>
      <c r="O441" s="68" t="s">
        <v>84</v>
      </c>
      <c r="P441" s="69">
        <v>45519.333333333299</v>
      </c>
      <c r="Q441" s="70"/>
      <c r="R441" s="70" t="s">
        <v>31</v>
      </c>
      <c r="S441" s="71">
        <v>45517.404861111099</v>
      </c>
      <c r="T441" s="72"/>
      <c r="U441" s="63">
        <v>45608.4597222222</v>
      </c>
      <c r="V441" s="64">
        <v>-70</v>
      </c>
    </row>
    <row r="442" spans="1:22" ht="11.25" x14ac:dyDescent="0.2">
      <c r="A442" s="65">
        <v>307085</v>
      </c>
      <c r="B442" s="65" t="s">
        <v>1663</v>
      </c>
      <c r="C442" s="66" t="s">
        <v>1664</v>
      </c>
      <c r="D442" s="66" t="s">
        <v>1664</v>
      </c>
      <c r="E442" s="67" t="s">
        <v>574</v>
      </c>
      <c r="F442" s="66" t="s">
        <v>575</v>
      </c>
      <c r="G442" s="67" t="s">
        <v>222</v>
      </c>
      <c r="H442" s="65" t="s">
        <v>34</v>
      </c>
      <c r="I442" s="67" t="s">
        <v>35</v>
      </c>
      <c r="J442" s="67" t="s">
        <v>576</v>
      </c>
      <c r="K442" s="67" t="s">
        <v>577</v>
      </c>
      <c r="L442" s="65" t="s">
        <v>237</v>
      </c>
      <c r="M442" s="68" t="s">
        <v>238</v>
      </c>
      <c r="N442" s="68" t="s">
        <v>83</v>
      </c>
      <c r="O442" s="68" t="s">
        <v>84</v>
      </c>
      <c r="P442" s="69">
        <v>45519.663888888899</v>
      </c>
      <c r="Q442" s="70"/>
      <c r="R442" s="70" t="s">
        <v>31</v>
      </c>
      <c r="S442" s="71">
        <v>45518.625</v>
      </c>
      <c r="T442" s="72"/>
      <c r="U442" s="63">
        <v>45608.662499999999</v>
      </c>
      <c r="V442" s="64">
        <v>-70</v>
      </c>
    </row>
    <row r="443" spans="1:22" ht="11.25" x14ac:dyDescent="0.2">
      <c r="A443" s="65">
        <v>307088</v>
      </c>
      <c r="B443" s="65" t="s">
        <v>1670</v>
      </c>
      <c r="C443" s="66" t="s">
        <v>1671</v>
      </c>
      <c r="D443" s="66" t="s">
        <v>1671</v>
      </c>
      <c r="E443" s="67" t="s">
        <v>1007</v>
      </c>
      <c r="F443" s="66" t="s">
        <v>1008</v>
      </c>
      <c r="G443" s="67" t="s">
        <v>23</v>
      </c>
      <c r="H443" s="65" t="s">
        <v>179</v>
      </c>
      <c r="I443" s="67" t="s">
        <v>180</v>
      </c>
      <c r="J443" s="67" t="s">
        <v>121</v>
      </c>
      <c r="K443" s="67" t="s">
        <v>122</v>
      </c>
      <c r="L443" s="65" t="s">
        <v>36</v>
      </c>
      <c r="M443" s="68" t="s">
        <v>37</v>
      </c>
      <c r="N443" s="68" t="s">
        <v>38</v>
      </c>
      <c r="O443" s="68" t="s">
        <v>39</v>
      </c>
      <c r="P443" s="69"/>
      <c r="Q443" s="70"/>
      <c r="R443" s="70" t="s">
        <v>31</v>
      </c>
      <c r="S443" s="71">
        <v>45478.323611111096</v>
      </c>
      <c r="T443" s="72" t="s">
        <v>161</v>
      </c>
      <c r="U443" s="63">
        <v>45568.323611111096</v>
      </c>
      <c r="V443" s="64">
        <v>-30</v>
      </c>
    </row>
    <row r="444" spans="1:22" ht="11.25" x14ac:dyDescent="0.2">
      <c r="A444" s="65">
        <v>307089</v>
      </c>
      <c r="B444" s="65" t="s">
        <v>1672</v>
      </c>
      <c r="C444" s="66" t="s">
        <v>1673</v>
      </c>
      <c r="D444" s="66" t="s">
        <v>1673</v>
      </c>
      <c r="E444" s="67" t="s">
        <v>101</v>
      </c>
      <c r="F444" s="66" t="s">
        <v>102</v>
      </c>
      <c r="G444" s="67" t="s">
        <v>23</v>
      </c>
      <c r="H444" s="65" t="s">
        <v>49</v>
      </c>
      <c r="I444" s="67" t="s">
        <v>50</v>
      </c>
      <c r="J444" s="67" t="s">
        <v>121</v>
      </c>
      <c r="K444" s="67" t="s">
        <v>122</v>
      </c>
      <c r="L444" s="65" t="s">
        <v>36</v>
      </c>
      <c r="M444" s="68" t="s">
        <v>37</v>
      </c>
      <c r="N444" s="68" t="s">
        <v>38</v>
      </c>
      <c r="O444" s="68" t="s">
        <v>39</v>
      </c>
      <c r="P444" s="69">
        <v>45527.375</v>
      </c>
      <c r="Q444" s="70"/>
      <c r="R444" s="70" t="s">
        <v>31</v>
      </c>
      <c r="S444" s="71">
        <v>45490.582638888904</v>
      </c>
      <c r="T444" s="72" t="s">
        <v>161</v>
      </c>
      <c r="U444" s="63">
        <v>45610.388888888898</v>
      </c>
      <c r="V444" s="64">
        <v>-72</v>
      </c>
    </row>
    <row r="445" spans="1:22" ht="11.25" x14ac:dyDescent="0.2">
      <c r="A445" s="65">
        <v>307090</v>
      </c>
      <c r="B445" s="65" t="s">
        <v>1674</v>
      </c>
      <c r="C445" s="66" t="s">
        <v>1675</v>
      </c>
      <c r="D445" s="66" t="s">
        <v>1675</v>
      </c>
      <c r="E445" s="67" t="s">
        <v>775</v>
      </c>
      <c r="F445" s="66" t="s">
        <v>776</v>
      </c>
      <c r="G445" s="67" t="s">
        <v>23</v>
      </c>
      <c r="H445" s="65" t="s">
        <v>179</v>
      </c>
      <c r="I445" s="67" t="s">
        <v>180</v>
      </c>
      <c r="J445" s="67" t="s">
        <v>119</v>
      </c>
      <c r="K445" s="67" t="s">
        <v>120</v>
      </c>
      <c r="L445" s="65" t="s">
        <v>36</v>
      </c>
      <c r="M445" s="68" t="s">
        <v>37</v>
      </c>
      <c r="N445" s="68" t="s">
        <v>38</v>
      </c>
      <c r="O445" s="68" t="s">
        <v>39</v>
      </c>
      <c r="P445" s="69"/>
      <c r="Q445" s="70"/>
      <c r="R445" s="70" t="s">
        <v>31</v>
      </c>
      <c r="S445" s="71">
        <v>45489.7944444444</v>
      </c>
      <c r="T445" s="72" t="s">
        <v>161</v>
      </c>
      <c r="U445" s="63">
        <v>45579.7944444444</v>
      </c>
      <c r="V445" s="64">
        <v>-41</v>
      </c>
    </row>
    <row r="446" spans="1:22" ht="11.25" x14ac:dyDescent="0.2">
      <c r="A446" s="65">
        <v>307091</v>
      </c>
      <c r="B446" s="65" t="s">
        <v>1676</v>
      </c>
      <c r="C446" s="66" t="s">
        <v>1677</v>
      </c>
      <c r="D446" s="66" t="s">
        <v>1677</v>
      </c>
      <c r="E446" s="67" t="s">
        <v>133</v>
      </c>
      <c r="F446" s="66" t="s">
        <v>134</v>
      </c>
      <c r="G446" s="67" t="s">
        <v>23</v>
      </c>
      <c r="H446" s="65" t="s">
        <v>179</v>
      </c>
      <c r="I446" s="67" t="s">
        <v>180</v>
      </c>
      <c r="J446" s="67" t="s">
        <v>649</v>
      </c>
      <c r="K446" s="67" t="s">
        <v>650</v>
      </c>
      <c r="L446" s="65" t="s">
        <v>36</v>
      </c>
      <c r="M446" s="68" t="s">
        <v>37</v>
      </c>
      <c r="N446" s="68" t="s">
        <v>83</v>
      </c>
      <c r="O446" s="68" t="s">
        <v>84</v>
      </c>
      <c r="P446" s="69"/>
      <c r="Q446" s="70"/>
      <c r="R446" s="70" t="s">
        <v>31</v>
      </c>
      <c r="S446" s="71">
        <v>45493.5180555556</v>
      </c>
      <c r="T446" s="72" t="s">
        <v>161</v>
      </c>
      <c r="U446" s="63">
        <v>45583.5180555556</v>
      </c>
      <c r="V446" s="64">
        <v>-45</v>
      </c>
    </row>
    <row r="447" spans="1:22" ht="11.25" x14ac:dyDescent="0.2">
      <c r="A447" s="65">
        <v>307092</v>
      </c>
      <c r="B447" s="65" t="s">
        <v>1678</v>
      </c>
      <c r="C447" s="66" t="s">
        <v>1679</v>
      </c>
      <c r="D447" s="66" t="s">
        <v>1679</v>
      </c>
      <c r="E447" s="67" t="s">
        <v>86</v>
      </c>
      <c r="F447" s="66" t="s">
        <v>87</v>
      </c>
      <c r="G447" s="67" t="s">
        <v>23</v>
      </c>
      <c r="H447" s="65" t="s">
        <v>179</v>
      </c>
      <c r="I447" s="67" t="s">
        <v>180</v>
      </c>
      <c r="J447" s="67" t="s">
        <v>649</v>
      </c>
      <c r="K447" s="67" t="s">
        <v>650</v>
      </c>
      <c r="L447" s="65" t="s">
        <v>36</v>
      </c>
      <c r="M447" s="68" t="s">
        <v>37</v>
      </c>
      <c r="N447" s="68" t="s">
        <v>83</v>
      </c>
      <c r="O447" s="68" t="s">
        <v>84</v>
      </c>
      <c r="P447" s="69"/>
      <c r="Q447" s="70"/>
      <c r="R447" s="70" t="s">
        <v>31</v>
      </c>
      <c r="S447" s="71">
        <v>45492.411111111098</v>
      </c>
      <c r="T447" s="72" t="s">
        <v>161</v>
      </c>
      <c r="U447" s="63">
        <v>45582.411111111098</v>
      </c>
      <c r="V447" s="64">
        <v>-44</v>
      </c>
    </row>
    <row r="448" spans="1:22" ht="11.25" x14ac:dyDescent="0.2">
      <c r="A448" s="65">
        <v>307093</v>
      </c>
      <c r="B448" s="65" t="s">
        <v>1680</v>
      </c>
      <c r="C448" s="66" t="s">
        <v>1681</v>
      </c>
      <c r="D448" s="66" t="s">
        <v>1681</v>
      </c>
      <c r="E448" s="67" t="s">
        <v>141</v>
      </c>
      <c r="F448" s="66" t="s">
        <v>142</v>
      </c>
      <c r="G448" s="67" t="s">
        <v>23</v>
      </c>
      <c r="H448" s="65" t="s">
        <v>179</v>
      </c>
      <c r="I448" s="67" t="s">
        <v>180</v>
      </c>
      <c r="J448" s="67" t="s">
        <v>507</v>
      </c>
      <c r="K448" s="67" t="s">
        <v>508</v>
      </c>
      <c r="L448" s="65" t="s">
        <v>36</v>
      </c>
      <c r="M448" s="68" t="s">
        <v>37</v>
      </c>
      <c r="N448" s="68" t="s">
        <v>83</v>
      </c>
      <c r="O448" s="68" t="s">
        <v>84</v>
      </c>
      <c r="P448" s="69"/>
      <c r="Q448" s="70"/>
      <c r="R448" s="70" t="s">
        <v>31</v>
      </c>
      <c r="S448" s="71">
        <v>45519.506944444402</v>
      </c>
      <c r="T448" s="72" t="s">
        <v>161</v>
      </c>
      <c r="U448" s="63">
        <v>45609.506944444402</v>
      </c>
      <c r="V448" s="64">
        <v>-71</v>
      </c>
    </row>
    <row r="449" spans="1:22" ht="11.25" x14ac:dyDescent="0.2">
      <c r="A449" s="65">
        <v>307094</v>
      </c>
      <c r="B449" s="65" t="s">
        <v>1682</v>
      </c>
      <c r="C449" s="66" t="s">
        <v>1683</v>
      </c>
      <c r="D449" s="66" t="s">
        <v>1683</v>
      </c>
      <c r="E449" s="67" t="s">
        <v>419</v>
      </c>
      <c r="F449" s="66" t="s">
        <v>420</v>
      </c>
      <c r="G449" s="67" t="s">
        <v>23</v>
      </c>
      <c r="H449" s="65" t="s">
        <v>179</v>
      </c>
      <c r="I449" s="67" t="s">
        <v>180</v>
      </c>
      <c r="J449" s="67" t="s">
        <v>808</v>
      </c>
      <c r="K449" s="67" t="s">
        <v>809</v>
      </c>
      <c r="L449" s="65" t="s">
        <v>36</v>
      </c>
      <c r="M449" s="68" t="s">
        <v>37</v>
      </c>
      <c r="N449" s="68" t="s">
        <v>83</v>
      </c>
      <c r="O449" s="68" t="s">
        <v>84</v>
      </c>
      <c r="P449" s="69"/>
      <c r="Q449" s="70"/>
      <c r="R449" s="70" t="s">
        <v>31</v>
      </c>
      <c r="S449" s="71">
        <v>45513.477083333302</v>
      </c>
      <c r="T449" s="72" t="s">
        <v>161</v>
      </c>
      <c r="U449" s="63">
        <v>45603.477083333302</v>
      </c>
      <c r="V449" s="64">
        <v>-65</v>
      </c>
    </row>
    <row r="450" spans="1:22" ht="11.25" x14ac:dyDescent="0.2">
      <c r="A450" s="65">
        <v>307097</v>
      </c>
      <c r="B450" s="65" t="s">
        <v>1690</v>
      </c>
      <c r="C450" s="66" t="s">
        <v>1691</v>
      </c>
      <c r="D450" s="66" t="s">
        <v>1691</v>
      </c>
      <c r="E450" s="67" t="s">
        <v>141</v>
      </c>
      <c r="F450" s="66" t="s">
        <v>142</v>
      </c>
      <c r="G450" s="67" t="s">
        <v>23</v>
      </c>
      <c r="H450" s="65" t="s">
        <v>179</v>
      </c>
      <c r="I450" s="67" t="s">
        <v>180</v>
      </c>
      <c r="J450" s="67" t="s">
        <v>507</v>
      </c>
      <c r="K450" s="67" t="s">
        <v>508</v>
      </c>
      <c r="L450" s="65" t="s">
        <v>36</v>
      </c>
      <c r="M450" s="68" t="s">
        <v>37</v>
      </c>
      <c r="N450" s="68" t="s">
        <v>83</v>
      </c>
      <c r="O450" s="68" t="s">
        <v>84</v>
      </c>
      <c r="P450" s="69"/>
      <c r="Q450" s="70"/>
      <c r="R450" s="70" t="s">
        <v>31</v>
      </c>
      <c r="S450" s="71">
        <v>45518.824999999997</v>
      </c>
      <c r="T450" s="72" t="s">
        <v>161</v>
      </c>
      <c r="U450" s="63">
        <v>45608.824999999997</v>
      </c>
      <c r="V450" s="64">
        <v>-70</v>
      </c>
    </row>
    <row r="451" spans="1:22" ht="11.25" x14ac:dyDescent="0.2">
      <c r="A451" s="65">
        <v>307101</v>
      </c>
      <c r="B451" s="65" t="s">
        <v>1698</v>
      </c>
      <c r="C451" s="66" t="s">
        <v>1699</v>
      </c>
      <c r="D451" s="66" t="s">
        <v>1699</v>
      </c>
      <c r="E451" s="67" t="s">
        <v>105</v>
      </c>
      <c r="F451" s="66" t="s">
        <v>106</v>
      </c>
      <c r="G451" s="67" t="s">
        <v>23</v>
      </c>
      <c r="H451" s="65" t="s">
        <v>34</v>
      </c>
      <c r="I451" s="67" t="s">
        <v>35</v>
      </c>
      <c r="J451" s="67" t="s">
        <v>107</v>
      </c>
      <c r="K451" s="67" t="s">
        <v>108</v>
      </c>
      <c r="L451" s="65" t="s">
        <v>36</v>
      </c>
      <c r="M451" s="68" t="s">
        <v>37</v>
      </c>
      <c r="N451" s="68" t="s">
        <v>57</v>
      </c>
      <c r="O451" s="68" t="s">
        <v>58</v>
      </c>
      <c r="P451" s="69">
        <v>45523.410416666702</v>
      </c>
      <c r="Q451" s="70"/>
      <c r="R451" s="70" t="s">
        <v>40</v>
      </c>
      <c r="S451" s="71">
        <v>45511.503472222197</v>
      </c>
      <c r="T451" s="72" t="s">
        <v>161</v>
      </c>
      <c r="U451" s="63">
        <v>45520.388888888898</v>
      </c>
      <c r="V451" s="64">
        <v>18</v>
      </c>
    </row>
    <row r="452" spans="1:22" ht="11.25" x14ac:dyDescent="0.2">
      <c r="A452" s="65">
        <v>307103</v>
      </c>
      <c r="B452" s="65" t="s">
        <v>1702</v>
      </c>
      <c r="C452" s="66" t="s">
        <v>1703</v>
      </c>
      <c r="D452" s="66" t="s">
        <v>1703</v>
      </c>
      <c r="E452" s="67" t="s">
        <v>775</v>
      </c>
      <c r="F452" s="66" t="s">
        <v>776</v>
      </c>
      <c r="G452" s="67" t="s">
        <v>23</v>
      </c>
      <c r="H452" s="65" t="s">
        <v>49</v>
      </c>
      <c r="I452" s="67" t="s">
        <v>50</v>
      </c>
      <c r="J452" s="67" t="s">
        <v>107</v>
      </c>
      <c r="K452" s="67" t="s">
        <v>108</v>
      </c>
      <c r="L452" s="65" t="s">
        <v>36</v>
      </c>
      <c r="M452" s="68" t="s">
        <v>37</v>
      </c>
      <c r="N452" s="68" t="s">
        <v>29</v>
      </c>
      <c r="O452" s="68" t="s">
        <v>30</v>
      </c>
      <c r="P452" s="69">
        <v>45532.354166666701</v>
      </c>
      <c r="Q452" s="70"/>
      <c r="R452" s="70" t="s">
        <v>31</v>
      </c>
      <c r="S452" s="71">
        <v>45511.513888888898</v>
      </c>
      <c r="T452" s="72" t="s">
        <v>161</v>
      </c>
      <c r="U452" s="63">
        <v>45610.388888888898</v>
      </c>
      <c r="V452" s="64">
        <v>-72</v>
      </c>
    </row>
    <row r="453" spans="1:22" ht="11.25" x14ac:dyDescent="0.2">
      <c r="A453" s="65">
        <v>307104</v>
      </c>
      <c r="B453" s="65" t="s">
        <v>1704</v>
      </c>
      <c r="C453" s="66" t="s">
        <v>1705</v>
      </c>
      <c r="D453" s="66" t="s">
        <v>1705</v>
      </c>
      <c r="E453" s="67" t="s">
        <v>105</v>
      </c>
      <c r="F453" s="66" t="s">
        <v>106</v>
      </c>
      <c r="G453" s="67" t="s">
        <v>23</v>
      </c>
      <c r="H453" s="65" t="s">
        <v>49</v>
      </c>
      <c r="I453" s="67" t="s">
        <v>50</v>
      </c>
      <c r="J453" s="67" t="s">
        <v>107</v>
      </c>
      <c r="K453" s="67" t="s">
        <v>108</v>
      </c>
      <c r="L453" s="65" t="s">
        <v>36</v>
      </c>
      <c r="M453" s="68" t="s">
        <v>37</v>
      </c>
      <c r="N453" s="68" t="s">
        <v>29</v>
      </c>
      <c r="O453" s="68" t="s">
        <v>30</v>
      </c>
      <c r="P453" s="69">
        <v>45533.426388888904</v>
      </c>
      <c r="Q453" s="70"/>
      <c r="R453" s="70" t="s">
        <v>31</v>
      </c>
      <c r="S453" s="71">
        <v>45511.499305555597</v>
      </c>
      <c r="T453" s="72" t="s">
        <v>161</v>
      </c>
      <c r="U453" s="63">
        <v>45610.388888888898</v>
      </c>
      <c r="V453" s="64">
        <v>-72</v>
      </c>
    </row>
    <row r="454" spans="1:22" ht="11.25" x14ac:dyDescent="0.2">
      <c r="A454" s="65">
        <v>307105</v>
      </c>
      <c r="B454" s="65" t="s">
        <v>1706</v>
      </c>
      <c r="C454" s="66" t="s">
        <v>1707</v>
      </c>
      <c r="D454" s="66" t="s">
        <v>1708</v>
      </c>
      <c r="E454" s="67" t="s">
        <v>86</v>
      </c>
      <c r="F454" s="66" t="s">
        <v>87</v>
      </c>
      <c r="G454" s="67" t="s">
        <v>23</v>
      </c>
      <c r="H454" s="65" t="s">
        <v>22</v>
      </c>
      <c r="I454" s="67" t="s">
        <v>24</v>
      </c>
      <c r="J454" s="67" t="s">
        <v>509</v>
      </c>
      <c r="K454" s="67" t="s">
        <v>510</v>
      </c>
      <c r="L454" s="65" t="s">
        <v>36</v>
      </c>
      <c r="M454" s="68" t="s">
        <v>37</v>
      </c>
      <c r="N454" s="68" t="s">
        <v>57</v>
      </c>
      <c r="O454" s="68" t="s">
        <v>58</v>
      </c>
      <c r="P454" s="69"/>
      <c r="Q454" s="70"/>
      <c r="R454" s="70" t="s">
        <v>40</v>
      </c>
      <c r="S454" s="71">
        <v>45512.411805555603</v>
      </c>
      <c r="T454" s="72" t="s">
        <v>161</v>
      </c>
      <c r="U454" s="63">
        <v>45520.388888888898</v>
      </c>
      <c r="V454" s="64">
        <v>18</v>
      </c>
    </row>
    <row r="455" spans="1:22" ht="11.25" x14ac:dyDescent="0.2">
      <c r="A455" s="65">
        <v>307106</v>
      </c>
      <c r="B455" s="65" t="s">
        <v>1709</v>
      </c>
      <c r="C455" s="66" t="s">
        <v>1710</v>
      </c>
      <c r="D455" s="66" t="s">
        <v>1710</v>
      </c>
      <c r="E455" s="67" t="s">
        <v>159</v>
      </c>
      <c r="F455" s="66" t="s">
        <v>160</v>
      </c>
      <c r="G455" s="67" t="s">
        <v>23</v>
      </c>
      <c r="H455" s="65" t="s">
        <v>34</v>
      </c>
      <c r="I455" s="67" t="s">
        <v>35</v>
      </c>
      <c r="J455" s="67" t="s">
        <v>1453</v>
      </c>
      <c r="K455" s="67" t="s">
        <v>1454</v>
      </c>
      <c r="L455" s="65" t="s">
        <v>36</v>
      </c>
      <c r="M455" s="68" t="s">
        <v>37</v>
      </c>
      <c r="N455" s="68" t="s">
        <v>38</v>
      </c>
      <c r="O455" s="68" t="s">
        <v>39</v>
      </c>
      <c r="P455" s="69">
        <v>45527.605555555601</v>
      </c>
      <c r="Q455" s="70"/>
      <c r="R455" s="70" t="s">
        <v>31</v>
      </c>
      <c r="S455" s="71">
        <v>45509.532638888901</v>
      </c>
      <c r="T455" s="72" t="s">
        <v>161</v>
      </c>
      <c r="U455" s="63">
        <v>45610.388888888898</v>
      </c>
      <c r="V455" s="64">
        <v>-72</v>
      </c>
    </row>
    <row r="456" spans="1:22" ht="11.25" x14ac:dyDescent="0.2">
      <c r="A456" s="65">
        <v>307107</v>
      </c>
      <c r="B456" s="65" t="s">
        <v>1711</v>
      </c>
      <c r="C456" s="66" t="s">
        <v>1712</v>
      </c>
      <c r="D456" s="66" t="s">
        <v>1712</v>
      </c>
      <c r="E456" s="67" t="s">
        <v>183</v>
      </c>
      <c r="F456" s="66" t="s">
        <v>184</v>
      </c>
      <c r="G456" s="67" t="s">
        <v>23</v>
      </c>
      <c r="H456" s="65" t="s">
        <v>49</v>
      </c>
      <c r="I456" s="67" t="s">
        <v>50</v>
      </c>
      <c r="J456" s="67" t="s">
        <v>1713</v>
      </c>
      <c r="K456" s="67" t="s">
        <v>1714</v>
      </c>
      <c r="L456" s="65" t="s">
        <v>36</v>
      </c>
      <c r="M456" s="68" t="s">
        <v>37</v>
      </c>
      <c r="N456" s="68" t="s">
        <v>83</v>
      </c>
      <c r="O456" s="68" t="s">
        <v>84</v>
      </c>
      <c r="P456" s="69">
        <v>45520.347222222197</v>
      </c>
      <c r="Q456" s="70"/>
      <c r="R456" s="70" t="s">
        <v>31</v>
      </c>
      <c r="S456" s="71">
        <v>45511.302083333299</v>
      </c>
      <c r="T456" s="72" t="s">
        <v>161</v>
      </c>
      <c r="U456" s="63">
        <v>45610.388888888898</v>
      </c>
      <c r="V456" s="64">
        <v>-72</v>
      </c>
    </row>
    <row r="457" spans="1:22" ht="11.25" x14ac:dyDescent="0.2">
      <c r="A457" s="65">
        <v>307108</v>
      </c>
      <c r="B457" s="65" t="s">
        <v>1715</v>
      </c>
      <c r="C457" s="66" t="s">
        <v>1716</v>
      </c>
      <c r="D457" s="66" t="s">
        <v>1716</v>
      </c>
      <c r="E457" s="67" t="s">
        <v>199</v>
      </c>
      <c r="F457" s="66" t="s">
        <v>200</v>
      </c>
      <c r="G457" s="67" t="s">
        <v>23</v>
      </c>
      <c r="H457" s="65" t="s">
        <v>22</v>
      </c>
      <c r="I457" s="67" t="s">
        <v>24</v>
      </c>
      <c r="J457" s="67" t="s">
        <v>571</v>
      </c>
      <c r="K457" s="67" t="s">
        <v>572</v>
      </c>
      <c r="L457" s="65" t="s">
        <v>36</v>
      </c>
      <c r="M457" s="68" t="s">
        <v>37</v>
      </c>
      <c r="N457" s="68" t="s">
        <v>29</v>
      </c>
      <c r="O457" s="68" t="s">
        <v>30</v>
      </c>
      <c r="P457" s="69"/>
      <c r="Q457" s="70"/>
      <c r="R457" s="70" t="s">
        <v>31</v>
      </c>
      <c r="S457" s="71">
        <v>45511.519444444399</v>
      </c>
      <c r="T457" s="72" t="s">
        <v>161</v>
      </c>
      <c r="U457" s="63">
        <v>45610.388888888898</v>
      </c>
      <c r="V457" s="64">
        <v>-72</v>
      </c>
    </row>
    <row r="458" spans="1:22" ht="11.25" x14ac:dyDescent="0.2">
      <c r="A458" s="65">
        <v>307109</v>
      </c>
      <c r="B458" s="65" t="s">
        <v>1717</v>
      </c>
      <c r="C458" s="66" t="s">
        <v>1718</v>
      </c>
      <c r="D458" s="66" t="s">
        <v>1718</v>
      </c>
      <c r="E458" s="67" t="s">
        <v>196</v>
      </c>
      <c r="F458" s="66" t="s">
        <v>197</v>
      </c>
      <c r="G458" s="67" t="s">
        <v>23</v>
      </c>
      <c r="H458" s="65" t="s">
        <v>49</v>
      </c>
      <c r="I458" s="67" t="s">
        <v>50</v>
      </c>
      <c r="J458" s="67" t="s">
        <v>1112</v>
      </c>
      <c r="K458" s="67" t="s">
        <v>1113</v>
      </c>
      <c r="L458" s="65" t="s">
        <v>36</v>
      </c>
      <c r="M458" s="68" t="s">
        <v>37</v>
      </c>
      <c r="N458" s="68" t="s">
        <v>83</v>
      </c>
      <c r="O458" s="68" t="s">
        <v>84</v>
      </c>
      <c r="P458" s="69">
        <v>45520.5</v>
      </c>
      <c r="Q458" s="70"/>
      <c r="R458" s="70" t="s">
        <v>40</v>
      </c>
      <c r="S458" s="71">
        <v>45511.529861111099</v>
      </c>
      <c r="T458" s="72" t="s">
        <v>161</v>
      </c>
      <c r="U458" s="63">
        <v>45520.388888888898</v>
      </c>
      <c r="V458" s="64">
        <v>18</v>
      </c>
    </row>
    <row r="459" spans="1:22" ht="11.25" x14ac:dyDescent="0.2">
      <c r="A459" s="65">
        <v>307112</v>
      </c>
      <c r="B459" s="65" t="s">
        <v>1725</v>
      </c>
      <c r="C459" s="66" t="s">
        <v>1726</v>
      </c>
      <c r="D459" s="66" t="s">
        <v>1726</v>
      </c>
      <c r="E459" s="67" t="s">
        <v>632</v>
      </c>
      <c r="F459" s="66" t="s">
        <v>633</v>
      </c>
      <c r="G459" s="67" t="s">
        <v>23</v>
      </c>
      <c r="H459" s="65" t="s">
        <v>179</v>
      </c>
      <c r="I459" s="67" t="s">
        <v>180</v>
      </c>
      <c r="J459" s="67" t="s">
        <v>634</v>
      </c>
      <c r="K459" s="67" t="s">
        <v>635</v>
      </c>
      <c r="L459" s="65" t="s">
        <v>36</v>
      </c>
      <c r="M459" s="68" t="s">
        <v>37</v>
      </c>
      <c r="N459" s="68" t="s">
        <v>38</v>
      </c>
      <c r="O459" s="68" t="s">
        <v>39</v>
      </c>
      <c r="P459" s="69"/>
      <c r="Q459" s="70"/>
      <c r="R459" s="70" t="s">
        <v>31</v>
      </c>
      <c r="S459" s="71">
        <v>45504.390972222202</v>
      </c>
      <c r="T459" s="72" t="s">
        <v>161</v>
      </c>
      <c r="U459" s="63">
        <v>45594.390972222202</v>
      </c>
      <c r="V459" s="64">
        <v>-56</v>
      </c>
    </row>
    <row r="460" spans="1:22" ht="11.25" x14ac:dyDescent="0.2">
      <c r="A460" s="65">
        <v>307113</v>
      </c>
      <c r="B460" s="65" t="s">
        <v>1727</v>
      </c>
      <c r="C460" s="66" t="s">
        <v>1728</v>
      </c>
      <c r="D460" s="66" t="s">
        <v>1728</v>
      </c>
      <c r="E460" s="67" t="s">
        <v>1729</v>
      </c>
      <c r="F460" s="66" t="s">
        <v>1730</v>
      </c>
      <c r="G460" s="67" t="s">
        <v>23</v>
      </c>
      <c r="H460" s="65" t="s">
        <v>179</v>
      </c>
      <c r="I460" s="67" t="s">
        <v>180</v>
      </c>
      <c r="J460" s="67" t="s">
        <v>226</v>
      </c>
      <c r="K460" s="67" t="s">
        <v>227</v>
      </c>
      <c r="L460" s="65" t="s">
        <v>36</v>
      </c>
      <c r="M460" s="68" t="s">
        <v>37</v>
      </c>
      <c r="N460" s="68" t="s">
        <v>83</v>
      </c>
      <c r="O460" s="68" t="s">
        <v>84</v>
      </c>
      <c r="P460" s="69"/>
      <c r="Q460" s="70"/>
      <c r="R460" s="70" t="s">
        <v>31</v>
      </c>
      <c r="S460" s="71">
        <v>45501.261111111096</v>
      </c>
      <c r="T460" s="72" t="s">
        <v>161</v>
      </c>
      <c r="U460" s="63">
        <v>45591.261111111096</v>
      </c>
      <c r="V460" s="64">
        <v>-53</v>
      </c>
    </row>
    <row r="461" spans="1:22" ht="11.25" x14ac:dyDescent="0.2">
      <c r="A461" s="65">
        <v>307114</v>
      </c>
      <c r="B461" s="65" t="s">
        <v>1731</v>
      </c>
      <c r="C461" s="66" t="s">
        <v>1732</v>
      </c>
      <c r="D461" s="66" t="s">
        <v>1732</v>
      </c>
      <c r="E461" s="67" t="s">
        <v>673</v>
      </c>
      <c r="F461" s="66" t="s">
        <v>674</v>
      </c>
      <c r="G461" s="67" t="s">
        <v>23</v>
      </c>
      <c r="H461" s="65" t="s">
        <v>34</v>
      </c>
      <c r="I461" s="67" t="s">
        <v>35</v>
      </c>
      <c r="J461" s="67" t="s">
        <v>226</v>
      </c>
      <c r="K461" s="67" t="s">
        <v>227</v>
      </c>
      <c r="L461" s="65" t="s">
        <v>36</v>
      </c>
      <c r="M461" s="68" t="s">
        <v>37</v>
      </c>
      <c r="N461" s="68" t="s">
        <v>29</v>
      </c>
      <c r="O461" s="68" t="s">
        <v>30</v>
      </c>
      <c r="P461" s="69">
        <v>45524.629166666702</v>
      </c>
      <c r="Q461" s="70"/>
      <c r="R461" s="70" t="s">
        <v>31</v>
      </c>
      <c r="S461" s="71">
        <v>45497.852083333302</v>
      </c>
      <c r="T461" s="72" t="s">
        <v>161</v>
      </c>
      <c r="U461" s="63">
        <v>45610.388888888898</v>
      </c>
      <c r="V461" s="64">
        <v>-72</v>
      </c>
    </row>
    <row r="462" spans="1:22" ht="11.25" x14ac:dyDescent="0.2">
      <c r="A462" s="65">
        <v>307115</v>
      </c>
      <c r="B462" s="65" t="s">
        <v>1733</v>
      </c>
      <c r="C462" s="66" t="s">
        <v>1734</v>
      </c>
      <c r="D462" s="66" t="s">
        <v>1734</v>
      </c>
      <c r="E462" s="67" t="s">
        <v>183</v>
      </c>
      <c r="F462" s="66" t="s">
        <v>184</v>
      </c>
      <c r="G462" s="67" t="s">
        <v>23</v>
      </c>
      <c r="H462" s="65" t="s">
        <v>179</v>
      </c>
      <c r="I462" s="67" t="s">
        <v>180</v>
      </c>
      <c r="J462" s="67" t="s">
        <v>66</v>
      </c>
      <c r="K462" s="67" t="s">
        <v>67</v>
      </c>
      <c r="L462" s="65" t="s">
        <v>36</v>
      </c>
      <c r="M462" s="68" t="s">
        <v>37</v>
      </c>
      <c r="N462" s="68" t="s">
        <v>201</v>
      </c>
      <c r="O462" s="68" t="s">
        <v>202</v>
      </c>
      <c r="P462" s="69"/>
      <c r="Q462" s="70"/>
      <c r="R462" s="70" t="s">
        <v>31</v>
      </c>
      <c r="S462" s="71">
        <v>45483.423611111102</v>
      </c>
      <c r="T462" s="72" t="s">
        <v>161</v>
      </c>
      <c r="U462" s="63">
        <v>45573.423611111102</v>
      </c>
      <c r="V462" s="64">
        <v>-35</v>
      </c>
    </row>
    <row r="463" spans="1:22" ht="11.25" x14ac:dyDescent="0.2">
      <c r="A463" s="65">
        <v>307119</v>
      </c>
      <c r="B463" s="65" t="s">
        <v>1748</v>
      </c>
      <c r="C463" s="66" t="s">
        <v>1749</v>
      </c>
      <c r="D463" s="66" t="s">
        <v>1749</v>
      </c>
      <c r="E463" s="67" t="s">
        <v>1371</v>
      </c>
      <c r="F463" s="66" t="s">
        <v>1372</v>
      </c>
      <c r="G463" s="67" t="s">
        <v>33</v>
      </c>
      <c r="H463" s="65" t="s">
        <v>179</v>
      </c>
      <c r="I463" s="67" t="s">
        <v>180</v>
      </c>
      <c r="J463" s="67" t="s">
        <v>1743</v>
      </c>
      <c r="K463" s="67" t="s">
        <v>1744</v>
      </c>
      <c r="L463" s="65" t="s">
        <v>36</v>
      </c>
      <c r="M463" s="68" t="s">
        <v>37</v>
      </c>
      <c r="N463" s="68" t="s">
        <v>38</v>
      </c>
      <c r="O463" s="68" t="s">
        <v>39</v>
      </c>
      <c r="P463" s="69"/>
      <c r="Q463" s="70"/>
      <c r="R463" s="70" t="s">
        <v>31</v>
      </c>
      <c r="S463" s="71">
        <v>45497.6027777778</v>
      </c>
      <c r="T463" s="72" t="s">
        <v>161</v>
      </c>
      <c r="U463" s="63">
        <v>45587.6027777778</v>
      </c>
      <c r="V463" s="64">
        <v>-49</v>
      </c>
    </row>
    <row r="464" spans="1:22" ht="11.25" x14ac:dyDescent="0.2">
      <c r="A464" s="65">
        <v>307123</v>
      </c>
      <c r="B464" s="65" t="s">
        <v>1759</v>
      </c>
      <c r="C464" s="66" t="s">
        <v>1760</v>
      </c>
      <c r="D464" s="66" t="s">
        <v>1761</v>
      </c>
      <c r="E464" s="67" t="s">
        <v>1549</v>
      </c>
      <c r="F464" s="66" t="s">
        <v>1550</v>
      </c>
      <c r="G464" s="67" t="s">
        <v>23</v>
      </c>
      <c r="H464" s="65" t="s">
        <v>34</v>
      </c>
      <c r="I464" s="67" t="s">
        <v>35</v>
      </c>
      <c r="J464" s="67" t="s">
        <v>66</v>
      </c>
      <c r="K464" s="67" t="s">
        <v>67</v>
      </c>
      <c r="L464" s="65" t="s">
        <v>36</v>
      </c>
      <c r="M464" s="68" t="s">
        <v>37</v>
      </c>
      <c r="N464" s="68" t="s">
        <v>90</v>
      </c>
      <c r="O464" s="68" t="s">
        <v>91</v>
      </c>
      <c r="P464" s="69">
        <v>45521.583333333299</v>
      </c>
      <c r="Q464" s="70"/>
      <c r="R464" s="70" t="s">
        <v>31</v>
      </c>
      <c r="S464" s="71">
        <v>45520.537499999999</v>
      </c>
      <c r="T464" s="72"/>
      <c r="U464" s="63">
        <v>45610.581250000003</v>
      </c>
      <c r="V464" s="64">
        <v>-72</v>
      </c>
    </row>
    <row r="465" spans="1:22" ht="11.25" x14ac:dyDescent="0.2">
      <c r="A465" s="65">
        <v>307124</v>
      </c>
      <c r="B465" s="65" t="s">
        <v>1762</v>
      </c>
      <c r="C465" s="66" t="s">
        <v>1763</v>
      </c>
      <c r="D465" s="66" t="s">
        <v>1764</v>
      </c>
      <c r="E465" s="67" t="s">
        <v>334</v>
      </c>
      <c r="F465" s="66" t="s">
        <v>335</v>
      </c>
      <c r="G465" s="67" t="s">
        <v>33</v>
      </c>
      <c r="H465" s="65" t="s">
        <v>34</v>
      </c>
      <c r="I465" s="67" t="s">
        <v>35</v>
      </c>
      <c r="J465" s="67" t="s">
        <v>594</v>
      </c>
      <c r="K465" s="67" t="s">
        <v>595</v>
      </c>
      <c r="L465" s="65" t="s">
        <v>36</v>
      </c>
      <c r="M465" s="68" t="s">
        <v>37</v>
      </c>
      <c r="N465" s="68" t="s">
        <v>38</v>
      </c>
      <c r="O465" s="68" t="s">
        <v>39</v>
      </c>
      <c r="P465" s="69">
        <v>45523.333333333299</v>
      </c>
      <c r="Q465" s="70"/>
      <c r="R465" s="70" t="s">
        <v>31</v>
      </c>
      <c r="S465" s="71">
        <v>45520.370833333298</v>
      </c>
      <c r="T465" s="72"/>
      <c r="U465" s="63">
        <v>45610.620833333298</v>
      </c>
      <c r="V465" s="64">
        <v>-72</v>
      </c>
    </row>
    <row r="466" spans="1:22" ht="11.25" x14ac:dyDescent="0.2">
      <c r="A466" s="65">
        <v>307128</v>
      </c>
      <c r="B466" s="65" t="s">
        <v>1774</v>
      </c>
      <c r="C466" s="66" t="s">
        <v>1775</v>
      </c>
      <c r="D466" s="66" t="s">
        <v>1776</v>
      </c>
      <c r="E466" s="67" t="s">
        <v>445</v>
      </c>
      <c r="F466" s="66" t="s">
        <v>446</v>
      </c>
      <c r="G466" s="67" t="s">
        <v>23</v>
      </c>
      <c r="H466" s="65" t="s">
        <v>34</v>
      </c>
      <c r="I466" s="67" t="s">
        <v>35</v>
      </c>
      <c r="J466" s="67" t="s">
        <v>119</v>
      </c>
      <c r="K466" s="67" t="s">
        <v>120</v>
      </c>
      <c r="L466" s="65" t="s">
        <v>36</v>
      </c>
      <c r="M466" s="68" t="s">
        <v>37</v>
      </c>
      <c r="N466" s="68" t="s">
        <v>38</v>
      </c>
      <c r="O466" s="68" t="s">
        <v>39</v>
      </c>
      <c r="P466" s="69">
        <v>45525.338888888902</v>
      </c>
      <c r="Q466" s="70"/>
      <c r="R466" s="70" t="s">
        <v>31</v>
      </c>
      <c r="S466" s="71">
        <v>45523.854861111096</v>
      </c>
      <c r="T466" s="72"/>
      <c r="U466" s="63">
        <v>45614.338194444397</v>
      </c>
      <c r="V466" s="64">
        <v>-76</v>
      </c>
    </row>
    <row r="467" spans="1:22" ht="11.25" x14ac:dyDescent="0.2">
      <c r="A467" s="65">
        <v>307130</v>
      </c>
      <c r="B467" s="65" t="s">
        <v>1780</v>
      </c>
      <c r="C467" s="66" t="s">
        <v>1781</v>
      </c>
      <c r="D467" s="66" t="s">
        <v>1782</v>
      </c>
      <c r="E467" s="67" t="s">
        <v>105</v>
      </c>
      <c r="F467" s="66" t="s">
        <v>106</v>
      </c>
      <c r="G467" s="67" t="s">
        <v>23</v>
      </c>
      <c r="H467" s="65" t="s">
        <v>49</v>
      </c>
      <c r="I467" s="67" t="s">
        <v>50</v>
      </c>
      <c r="J467" s="67" t="s">
        <v>119</v>
      </c>
      <c r="K467" s="67" t="s">
        <v>120</v>
      </c>
      <c r="L467" s="65" t="s">
        <v>36</v>
      </c>
      <c r="M467" s="68" t="s">
        <v>37</v>
      </c>
      <c r="N467" s="68" t="s">
        <v>57</v>
      </c>
      <c r="O467" s="68" t="s">
        <v>58</v>
      </c>
      <c r="P467" s="69">
        <v>45527.702777777798</v>
      </c>
      <c r="Q467" s="70"/>
      <c r="R467" s="70" t="s">
        <v>31</v>
      </c>
      <c r="S467" s="71">
        <v>45523.377083333296</v>
      </c>
      <c r="T467" s="72"/>
      <c r="U467" s="63">
        <v>45614.400694444397</v>
      </c>
      <c r="V467" s="64">
        <v>-76</v>
      </c>
    </row>
    <row r="468" spans="1:22" ht="11.25" x14ac:dyDescent="0.2">
      <c r="A468" s="65">
        <v>307132</v>
      </c>
      <c r="B468" s="65" t="s">
        <v>1789</v>
      </c>
      <c r="C468" s="66" t="s">
        <v>1790</v>
      </c>
      <c r="D468" s="66" t="s">
        <v>1791</v>
      </c>
      <c r="E468" s="67" t="s">
        <v>632</v>
      </c>
      <c r="F468" s="66" t="s">
        <v>633</v>
      </c>
      <c r="G468" s="67" t="s">
        <v>23</v>
      </c>
      <c r="H468" s="65" t="s">
        <v>22</v>
      </c>
      <c r="I468" s="67" t="s">
        <v>24</v>
      </c>
      <c r="J468" s="67" t="s">
        <v>634</v>
      </c>
      <c r="K468" s="67" t="s">
        <v>635</v>
      </c>
      <c r="L468" s="65" t="s">
        <v>36</v>
      </c>
      <c r="M468" s="68" t="s">
        <v>37</v>
      </c>
      <c r="N468" s="68" t="s">
        <v>57</v>
      </c>
      <c r="O468" s="68" t="s">
        <v>58</v>
      </c>
      <c r="P468" s="69"/>
      <c r="Q468" s="70"/>
      <c r="R468" s="70" t="s">
        <v>31</v>
      </c>
      <c r="S468" s="71">
        <v>45524.429166666698</v>
      </c>
      <c r="T468" s="72"/>
      <c r="U468" s="63">
        <v>45614.578472222202</v>
      </c>
      <c r="V468" s="64">
        <v>-76</v>
      </c>
    </row>
    <row r="469" spans="1:22" ht="11.25" x14ac:dyDescent="0.2">
      <c r="A469" s="65">
        <v>307133</v>
      </c>
      <c r="B469" s="65" t="s">
        <v>1792</v>
      </c>
      <c r="C469" s="66" t="s">
        <v>1793</v>
      </c>
      <c r="D469" s="66" t="s">
        <v>1794</v>
      </c>
      <c r="E469" s="67" t="s">
        <v>673</v>
      </c>
      <c r="F469" s="66" t="s">
        <v>674</v>
      </c>
      <c r="G469" s="67" t="s">
        <v>23</v>
      </c>
      <c r="H469" s="65" t="s">
        <v>179</v>
      </c>
      <c r="I469" s="67" t="s">
        <v>180</v>
      </c>
      <c r="J469" s="67" t="s">
        <v>1723</v>
      </c>
      <c r="K469" s="67" t="s">
        <v>1724</v>
      </c>
      <c r="L469" s="65" t="s">
        <v>36</v>
      </c>
      <c r="M469" s="68" t="s">
        <v>37</v>
      </c>
      <c r="N469" s="68" t="s">
        <v>57</v>
      </c>
      <c r="O469" s="68" t="s">
        <v>58</v>
      </c>
      <c r="P469" s="69"/>
      <c r="Q469" s="70"/>
      <c r="R469" s="70" t="s">
        <v>31</v>
      </c>
      <c r="S469" s="71">
        <v>45524.318055555603</v>
      </c>
      <c r="T469" s="72"/>
      <c r="U469" s="63">
        <v>45614.602083333302</v>
      </c>
      <c r="V469" s="64">
        <v>-76</v>
      </c>
    </row>
    <row r="470" spans="1:22" ht="11.25" x14ac:dyDescent="0.2">
      <c r="A470" s="65">
        <v>307136</v>
      </c>
      <c r="B470" s="65" t="s">
        <v>1795</v>
      </c>
      <c r="C470" s="66" t="s">
        <v>1796</v>
      </c>
      <c r="D470" s="66" t="s">
        <v>1797</v>
      </c>
      <c r="E470" s="67" t="s">
        <v>1282</v>
      </c>
      <c r="F470" s="66" t="s">
        <v>1283</v>
      </c>
      <c r="G470" s="67" t="s">
        <v>33</v>
      </c>
      <c r="H470" s="65" t="s">
        <v>34</v>
      </c>
      <c r="I470" s="67" t="s">
        <v>35</v>
      </c>
      <c r="J470" s="67" t="s">
        <v>66</v>
      </c>
      <c r="K470" s="67" t="s">
        <v>67</v>
      </c>
      <c r="L470" s="65" t="s">
        <v>36</v>
      </c>
      <c r="M470" s="68" t="s">
        <v>37</v>
      </c>
      <c r="N470" s="68" t="s">
        <v>57</v>
      </c>
      <c r="O470" s="68" t="s">
        <v>58</v>
      </c>
      <c r="P470" s="69"/>
      <c r="Q470" s="70"/>
      <c r="R470" s="70" t="s">
        <v>31</v>
      </c>
      <c r="S470" s="71">
        <v>45525.425694444399</v>
      </c>
      <c r="T470" s="72"/>
      <c r="U470" s="63">
        <v>45615.583333333299</v>
      </c>
      <c r="V470" s="64">
        <v>-77</v>
      </c>
    </row>
    <row r="471" spans="1:22" ht="11.25" x14ac:dyDescent="0.2">
      <c r="A471" s="65">
        <v>307138</v>
      </c>
      <c r="B471" s="65" t="s">
        <v>1798</v>
      </c>
      <c r="C471" s="66" t="s">
        <v>1799</v>
      </c>
      <c r="D471" s="66" t="s">
        <v>1800</v>
      </c>
      <c r="E471" s="67" t="s">
        <v>477</v>
      </c>
      <c r="F471" s="66" t="s">
        <v>478</v>
      </c>
      <c r="G471" s="67" t="s">
        <v>33</v>
      </c>
      <c r="H471" s="65" t="s">
        <v>49</v>
      </c>
      <c r="I471" s="67" t="s">
        <v>50</v>
      </c>
      <c r="J471" s="67" t="s">
        <v>66</v>
      </c>
      <c r="K471" s="67" t="s">
        <v>67</v>
      </c>
      <c r="L471" s="65" t="s">
        <v>36</v>
      </c>
      <c r="M471" s="68" t="s">
        <v>37</v>
      </c>
      <c r="N471" s="68" t="s">
        <v>83</v>
      </c>
      <c r="O471" s="68" t="s">
        <v>84</v>
      </c>
      <c r="P471" s="69">
        <v>45526.347222222197</v>
      </c>
      <c r="Q471" s="70"/>
      <c r="R471" s="70" t="s">
        <v>31</v>
      </c>
      <c r="S471" s="71">
        <v>45525.5131944444</v>
      </c>
      <c r="T471" s="72"/>
      <c r="U471" s="63">
        <v>45615.625694444403</v>
      </c>
      <c r="V471" s="64">
        <v>-77</v>
      </c>
    </row>
    <row r="472" spans="1:22" ht="11.25" x14ac:dyDescent="0.2">
      <c r="A472" s="65">
        <v>307140</v>
      </c>
      <c r="B472" s="65" t="s">
        <v>1801</v>
      </c>
      <c r="C472" s="66" t="s">
        <v>1802</v>
      </c>
      <c r="D472" s="66" t="s">
        <v>1802</v>
      </c>
      <c r="E472" s="67" t="s">
        <v>574</v>
      </c>
      <c r="F472" s="66" t="s">
        <v>575</v>
      </c>
      <c r="G472" s="67" t="s">
        <v>222</v>
      </c>
      <c r="H472" s="65" t="s">
        <v>49</v>
      </c>
      <c r="I472" s="67" t="s">
        <v>50</v>
      </c>
      <c r="J472" s="67" t="s">
        <v>576</v>
      </c>
      <c r="K472" s="67" t="s">
        <v>577</v>
      </c>
      <c r="L472" s="65" t="s">
        <v>237</v>
      </c>
      <c r="M472" s="68" t="s">
        <v>238</v>
      </c>
      <c r="N472" s="68" t="s">
        <v>83</v>
      </c>
      <c r="O472" s="68" t="s">
        <v>84</v>
      </c>
      <c r="P472" s="69">
        <v>45526.681250000001</v>
      </c>
      <c r="Q472" s="70"/>
      <c r="R472" s="70" t="s">
        <v>40</v>
      </c>
      <c r="S472" s="71">
        <v>45525.666666666701</v>
      </c>
      <c r="T472" s="72"/>
      <c r="U472" s="63">
        <v>45525.675000000003</v>
      </c>
      <c r="V472" s="64">
        <v>13</v>
      </c>
    </row>
    <row r="473" spans="1:22" ht="11.25" x14ac:dyDescent="0.2">
      <c r="A473" s="65">
        <v>307141</v>
      </c>
      <c r="B473" s="65" t="s">
        <v>1803</v>
      </c>
      <c r="C473" s="66" t="s">
        <v>1804</v>
      </c>
      <c r="D473" s="66" t="s">
        <v>1805</v>
      </c>
      <c r="E473" s="67" t="s">
        <v>63</v>
      </c>
      <c r="F473" s="66" t="s">
        <v>64</v>
      </c>
      <c r="G473" s="67" t="s">
        <v>33</v>
      </c>
      <c r="H473" s="65" t="s">
        <v>34</v>
      </c>
      <c r="I473" s="67" t="s">
        <v>35</v>
      </c>
      <c r="J473" s="67" t="s">
        <v>1806</v>
      </c>
      <c r="K473" s="67" t="s">
        <v>1807</v>
      </c>
      <c r="L473" s="65" t="s">
        <v>36</v>
      </c>
      <c r="M473" s="68" t="s">
        <v>37</v>
      </c>
      <c r="N473" s="68" t="s">
        <v>83</v>
      </c>
      <c r="O473" s="68" t="s">
        <v>84</v>
      </c>
      <c r="P473" s="69"/>
      <c r="Q473" s="70"/>
      <c r="R473" s="70" t="s">
        <v>31</v>
      </c>
      <c r="S473" s="71">
        <v>45525.578472222202</v>
      </c>
      <c r="T473" s="72"/>
      <c r="U473" s="63">
        <v>45616.329861111102</v>
      </c>
      <c r="V473" s="64">
        <v>-78</v>
      </c>
    </row>
    <row r="474" spans="1:22" ht="11.25" x14ac:dyDescent="0.2">
      <c r="A474" s="65">
        <v>307145</v>
      </c>
      <c r="B474" s="65" t="s">
        <v>1808</v>
      </c>
      <c r="C474" s="66" t="s">
        <v>1809</v>
      </c>
      <c r="D474" s="66" t="s">
        <v>1809</v>
      </c>
      <c r="E474" s="67" t="s">
        <v>105</v>
      </c>
      <c r="F474" s="66" t="s">
        <v>106</v>
      </c>
      <c r="G474" s="67" t="s">
        <v>23</v>
      </c>
      <c r="H474" s="65" t="s">
        <v>22</v>
      </c>
      <c r="I474" s="67" t="s">
        <v>24</v>
      </c>
      <c r="J474" s="67" t="s">
        <v>119</v>
      </c>
      <c r="K474" s="67" t="s">
        <v>120</v>
      </c>
      <c r="L474" s="65" t="s">
        <v>36</v>
      </c>
      <c r="M474" s="68" t="s">
        <v>37</v>
      </c>
      <c r="N474" s="68" t="s">
        <v>29</v>
      </c>
      <c r="O474" s="68" t="s">
        <v>30</v>
      </c>
      <c r="P474" s="69">
        <v>45530.371527777803</v>
      </c>
      <c r="Q474" s="70"/>
      <c r="R474" s="70" t="s">
        <v>31</v>
      </c>
      <c r="S474" s="71">
        <v>45525.813888888901</v>
      </c>
      <c r="T474" s="72" t="s">
        <v>109</v>
      </c>
      <c r="U474" s="63">
        <v>45616.559027777803</v>
      </c>
      <c r="V474" s="64">
        <v>-78</v>
      </c>
    </row>
    <row r="475" spans="1:22" ht="11.25" x14ac:dyDescent="0.2">
      <c r="A475" s="65">
        <v>307147</v>
      </c>
      <c r="B475" s="65" t="s">
        <v>1810</v>
      </c>
      <c r="C475" s="66" t="s">
        <v>1811</v>
      </c>
      <c r="D475" s="66" t="s">
        <v>1811</v>
      </c>
      <c r="E475" s="67" t="s">
        <v>191</v>
      </c>
      <c r="F475" s="66" t="s">
        <v>192</v>
      </c>
      <c r="G475" s="67" t="s">
        <v>23</v>
      </c>
      <c r="H475" s="65" t="s">
        <v>34</v>
      </c>
      <c r="I475" s="67" t="s">
        <v>35</v>
      </c>
      <c r="J475" s="67" t="s">
        <v>121</v>
      </c>
      <c r="K475" s="67" t="s">
        <v>122</v>
      </c>
      <c r="L475" s="65" t="s">
        <v>36</v>
      </c>
      <c r="M475" s="68" t="s">
        <v>37</v>
      </c>
      <c r="N475" s="68" t="s">
        <v>51</v>
      </c>
      <c r="O475" s="68" t="s">
        <v>52</v>
      </c>
      <c r="P475" s="69">
        <v>45531.545833333301</v>
      </c>
      <c r="Q475" s="70"/>
      <c r="R475" s="70" t="s">
        <v>31</v>
      </c>
      <c r="S475" s="71">
        <v>45524.375</v>
      </c>
      <c r="T475" s="72" t="s">
        <v>193</v>
      </c>
      <c r="U475" s="63">
        <v>45616.559027777803</v>
      </c>
      <c r="V475" s="64">
        <v>-78</v>
      </c>
    </row>
    <row r="476" spans="1:22" ht="11.25" x14ac:dyDescent="0.2">
      <c r="A476" s="65">
        <v>307150</v>
      </c>
      <c r="B476" s="65" t="s">
        <v>1812</v>
      </c>
      <c r="C476" s="66" t="s">
        <v>1813</v>
      </c>
      <c r="D476" s="66" t="s">
        <v>1813</v>
      </c>
      <c r="E476" s="67" t="s">
        <v>159</v>
      </c>
      <c r="F476" s="66" t="s">
        <v>160</v>
      </c>
      <c r="G476" s="67" t="s">
        <v>23</v>
      </c>
      <c r="H476" s="65" t="s">
        <v>34</v>
      </c>
      <c r="I476" s="67" t="s">
        <v>35</v>
      </c>
      <c r="J476" s="67" t="s">
        <v>121</v>
      </c>
      <c r="K476" s="67" t="s">
        <v>122</v>
      </c>
      <c r="L476" s="65" t="s">
        <v>36</v>
      </c>
      <c r="M476" s="68" t="s">
        <v>37</v>
      </c>
      <c r="N476" s="68" t="s">
        <v>29</v>
      </c>
      <c r="O476" s="68" t="s">
        <v>30</v>
      </c>
      <c r="P476" s="69">
        <v>45527.590972222199</v>
      </c>
      <c r="Q476" s="70"/>
      <c r="R476" s="70" t="s">
        <v>31</v>
      </c>
      <c r="S476" s="71">
        <v>45524.377083333296</v>
      </c>
      <c r="T476" s="72" t="s">
        <v>161</v>
      </c>
      <c r="U476" s="63">
        <v>45616.559027777803</v>
      </c>
      <c r="V476" s="64">
        <v>-78</v>
      </c>
    </row>
    <row r="477" spans="1:22" ht="11.25" x14ac:dyDescent="0.2">
      <c r="A477" s="65">
        <v>307151</v>
      </c>
      <c r="B477" s="65" t="s">
        <v>1814</v>
      </c>
      <c r="C477" s="66" t="s">
        <v>1815</v>
      </c>
      <c r="D477" s="66" t="s">
        <v>1815</v>
      </c>
      <c r="E477" s="67" t="s">
        <v>1007</v>
      </c>
      <c r="F477" s="66" t="s">
        <v>1008</v>
      </c>
      <c r="G477" s="67" t="s">
        <v>23</v>
      </c>
      <c r="H477" s="65" t="s">
        <v>34</v>
      </c>
      <c r="I477" s="67" t="s">
        <v>35</v>
      </c>
      <c r="J477" s="67" t="s">
        <v>121</v>
      </c>
      <c r="K477" s="67" t="s">
        <v>122</v>
      </c>
      <c r="L477" s="65" t="s">
        <v>36</v>
      </c>
      <c r="M477" s="68" t="s">
        <v>37</v>
      </c>
      <c r="N477" s="68" t="s">
        <v>29</v>
      </c>
      <c r="O477" s="68" t="s">
        <v>30</v>
      </c>
      <c r="P477" s="69">
        <v>45527.590972222199</v>
      </c>
      <c r="Q477" s="70"/>
      <c r="R477" s="70" t="s">
        <v>31</v>
      </c>
      <c r="S477" s="71">
        <v>45524.416666666701</v>
      </c>
      <c r="T477" s="72" t="s">
        <v>161</v>
      </c>
      <c r="U477" s="63">
        <v>45616.559027777803</v>
      </c>
      <c r="V477" s="64">
        <v>-78</v>
      </c>
    </row>
    <row r="478" spans="1:22" ht="11.25" x14ac:dyDescent="0.2">
      <c r="A478" s="65">
        <v>307152</v>
      </c>
      <c r="B478" s="65" t="s">
        <v>1816</v>
      </c>
      <c r="C478" s="66" t="s">
        <v>1817</v>
      </c>
      <c r="D478" s="66" t="s">
        <v>1817</v>
      </c>
      <c r="E478" s="67" t="s">
        <v>191</v>
      </c>
      <c r="F478" s="66" t="s">
        <v>192</v>
      </c>
      <c r="G478" s="67" t="s">
        <v>23</v>
      </c>
      <c r="H478" s="65" t="s">
        <v>179</v>
      </c>
      <c r="I478" s="67" t="s">
        <v>180</v>
      </c>
      <c r="J478" s="67" t="s">
        <v>121</v>
      </c>
      <c r="K478" s="67" t="s">
        <v>122</v>
      </c>
      <c r="L478" s="65" t="s">
        <v>36</v>
      </c>
      <c r="M478" s="68" t="s">
        <v>37</v>
      </c>
      <c r="N478" s="68" t="s">
        <v>201</v>
      </c>
      <c r="O478" s="68" t="s">
        <v>202</v>
      </c>
      <c r="P478" s="69">
        <v>45530.5</v>
      </c>
      <c r="Q478" s="70"/>
      <c r="R478" s="70" t="s">
        <v>31</v>
      </c>
      <c r="S478" s="71">
        <v>45524.373611111099</v>
      </c>
      <c r="T478" s="72" t="s">
        <v>193</v>
      </c>
      <c r="U478" s="63">
        <v>45616.559027777803</v>
      </c>
      <c r="V478" s="64">
        <v>-78</v>
      </c>
    </row>
    <row r="479" spans="1:22" ht="11.25" x14ac:dyDescent="0.2">
      <c r="A479" s="65">
        <v>307153</v>
      </c>
      <c r="B479" s="65" t="s">
        <v>1818</v>
      </c>
      <c r="C479" s="66" t="s">
        <v>1819</v>
      </c>
      <c r="D479" s="66" t="s">
        <v>1819</v>
      </c>
      <c r="E479" s="67" t="s">
        <v>117</v>
      </c>
      <c r="F479" s="66" t="s">
        <v>118</v>
      </c>
      <c r="G479" s="67" t="s">
        <v>23</v>
      </c>
      <c r="H479" s="65" t="s">
        <v>179</v>
      </c>
      <c r="I479" s="67" t="s">
        <v>180</v>
      </c>
      <c r="J479" s="67" t="s">
        <v>119</v>
      </c>
      <c r="K479" s="67" t="s">
        <v>120</v>
      </c>
      <c r="L479" s="65" t="s">
        <v>36</v>
      </c>
      <c r="M479" s="68" t="s">
        <v>37</v>
      </c>
      <c r="N479" s="68" t="s">
        <v>83</v>
      </c>
      <c r="O479" s="68" t="s">
        <v>84</v>
      </c>
      <c r="P479" s="69"/>
      <c r="Q479" s="70"/>
      <c r="R479" s="70" t="s">
        <v>31</v>
      </c>
      <c r="S479" s="71">
        <v>45524.776388888902</v>
      </c>
      <c r="T479" s="72" t="s">
        <v>109</v>
      </c>
      <c r="U479" s="63">
        <v>45614.776388888902</v>
      </c>
      <c r="V479" s="64">
        <v>-76</v>
      </c>
    </row>
    <row r="480" spans="1:22" ht="11.25" x14ac:dyDescent="0.2">
      <c r="A480" s="65">
        <v>307154</v>
      </c>
      <c r="B480" s="65" t="s">
        <v>1820</v>
      </c>
      <c r="C480" s="66" t="s">
        <v>1821</v>
      </c>
      <c r="D480" s="66" t="s">
        <v>1821</v>
      </c>
      <c r="E480" s="67" t="s">
        <v>117</v>
      </c>
      <c r="F480" s="66" t="s">
        <v>118</v>
      </c>
      <c r="G480" s="67" t="s">
        <v>23</v>
      </c>
      <c r="H480" s="65" t="s">
        <v>179</v>
      </c>
      <c r="I480" s="67" t="s">
        <v>180</v>
      </c>
      <c r="J480" s="67" t="s">
        <v>107</v>
      </c>
      <c r="K480" s="67" t="s">
        <v>108</v>
      </c>
      <c r="L480" s="65" t="s">
        <v>36</v>
      </c>
      <c r="M480" s="68" t="s">
        <v>37</v>
      </c>
      <c r="N480" s="68" t="s">
        <v>29</v>
      </c>
      <c r="O480" s="68" t="s">
        <v>30</v>
      </c>
      <c r="P480" s="69"/>
      <c r="Q480" s="70"/>
      <c r="R480" s="70" t="s">
        <v>31</v>
      </c>
      <c r="S480" s="71">
        <v>45524.395833333299</v>
      </c>
      <c r="T480" s="72" t="s">
        <v>109</v>
      </c>
      <c r="U480" s="63">
        <v>45614.395833333299</v>
      </c>
      <c r="V480" s="64">
        <v>-76</v>
      </c>
    </row>
    <row r="481" spans="1:22" ht="11.25" x14ac:dyDescent="0.2">
      <c r="A481" s="65">
        <v>307155</v>
      </c>
      <c r="B481" s="65" t="s">
        <v>1822</v>
      </c>
      <c r="C481" s="66" t="s">
        <v>1823</v>
      </c>
      <c r="D481" s="66" t="s">
        <v>1823</v>
      </c>
      <c r="E481" s="67" t="s">
        <v>159</v>
      </c>
      <c r="F481" s="66" t="s">
        <v>160</v>
      </c>
      <c r="G481" s="67" t="s">
        <v>23</v>
      </c>
      <c r="H481" s="65" t="s">
        <v>34</v>
      </c>
      <c r="I481" s="67" t="s">
        <v>35</v>
      </c>
      <c r="J481" s="67" t="s">
        <v>121</v>
      </c>
      <c r="K481" s="67" t="s">
        <v>122</v>
      </c>
      <c r="L481" s="65" t="s">
        <v>36</v>
      </c>
      <c r="M481" s="68" t="s">
        <v>37</v>
      </c>
      <c r="N481" s="68" t="s">
        <v>29</v>
      </c>
      <c r="O481" s="68" t="s">
        <v>30</v>
      </c>
      <c r="P481" s="69">
        <v>45527.593055555597</v>
      </c>
      <c r="Q481" s="70"/>
      <c r="R481" s="70" t="s">
        <v>31</v>
      </c>
      <c r="S481" s="71">
        <v>45524.395833333299</v>
      </c>
      <c r="T481" s="72" t="s">
        <v>161</v>
      </c>
      <c r="U481" s="63">
        <v>45616.559027777803</v>
      </c>
      <c r="V481" s="64">
        <v>-78</v>
      </c>
    </row>
    <row r="482" spans="1:22" ht="11.25" x14ac:dyDescent="0.2">
      <c r="A482" s="65">
        <v>307156</v>
      </c>
      <c r="B482" s="65" t="s">
        <v>1824</v>
      </c>
      <c r="C482" s="66" t="s">
        <v>1825</v>
      </c>
      <c r="D482" s="66" t="s">
        <v>1825</v>
      </c>
      <c r="E482" s="67" t="s">
        <v>159</v>
      </c>
      <c r="F482" s="66" t="s">
        <v>160</v>
      </c>
      <c r="G482" s="67" t="s">
        <v>23</v>
      </c>
      <c r="H482" s="65" t="s">
        <v>34</v>
      </c>
      <c r="I482" s="67" t="s">
        <v>35</v>
      </c>
      <c r="J482" s="67" t="s">
        <v>121</v>
      </c>
      <c r="K482" s="67" t="s">
        <v>122</v>
      </c>
      <c r="L482" s="65" t="s">
        <v>36</v>
      </c>
      <c r="M482" s="68" t="s">
        <v>37</v>
      </c>
      <c r="N482" s="68" t="s">
        <v>29</v>
      </c>
      <c r="O482" s="68" t="s">
        <v>30</v>
      </c>
      <c r="P482" s="69">
        <v>45527.59375</v>
      </c>
      <c r="Q482" s="70"/>
      <c r="R482" s="70" t="s">
        <v>31</v>
      </c>
      <c r="S482" s="71">
        <v>45524.402777777803</v>
      </c>
      <c r="T482" s="72" t="s">
        <v>161</v>
      </c>
      <c r="U482" s="63">
        <v>45616.559027777803</v>
      </c>
      <c r="V482" s="64">
        <v>-78</v>
      </c>
    </row>
    <row r="483" spans="1:22" ht="11.25" x14ac:dyDescent="0.2">
      <c r="A483" s="65">
        <v>307157</v>
      </c>
      <c r="B483" s="65" t="s">
        <v>1826</v>
      </c>
      <c r="C483" s="66" t="s">
        <v>1827</v>
      </c>
      <c r="D483" s="66" t="s">
        <v>1827</v>
      </c>
      <c r="E483" s="67" t="s">
        <v>159</v>
      </c>
      <c r="F483" s="66" t="s">
        <v>160</v>
      </c>
      <c r="G483" s="67" t="s">
        <v>23</v>
      </c>
      <c r="H483" s="65" t="s">
        <v>179</v>
      </c>
      <c r="I483" s="67" t="s">
        <v>180</v>
      </c>
      <c r="J483" s="67" t="s">
        <v>121</v>
      </c>
      <c r="K483" s="67" t="s">
        <v>122</v>
      </c>
      <c r="L483" s="65" t="s">
        <v>36</v>
      </c>
      <c r="M483" s="68" t="s">
        <v>37</v>
      </c>
      <c r="N483" s="68" t="s">
        <v>83</v>
      </c>
      <c r="O483" s="68" t="s">
        <v>84</v>
      </c>
      <c r="P483" s="69"/>
      <c r="Q483" s="70"/>
      <c r="R483" s="70" t="s">
        <v>31</v>
      </c>
      <c r="S483" s="71">
        <v>45524.412499999999</v>
      </c>
      <c r="T483" s="72" t="s">
        <v>161</v>
      </c>
      <c r="U483" s="63">
        <v>45614.412499999999</v>
      </c>
      <c r="V483" s="64">
        <v>-76</v>
      </c>
    </row>
    <row r="484" spans="1:22" ht="11.25" x14ac:dyDescent="0.2">
      <c r="A484" s="65">
        <v>307158</v>
      </c>
      <c r="B484" s="65" t="s">
        <v>1828</v>
      </c>
      <c r="C484" s="66" t="s">
        <v>1829</v>
      </c>
      <c r="D484" s="66" t="s">
        <v>1829</v>
      </c>
      <c r="E484" s="67" t="s">
        <v>117</v>
      </c>
      <c r="F484" s="66" t="s">
        <v>118</v>
      </c>
      <c r="G484" s="67" t="s">
        <v>23</v>
      </c>
      <c r="H484" s="65" t="s">
        <v>179</v>
      </c>
      <c r="I484" s="67" t="s">
        <v>180</v>
      </c>
      <c r="J484" s="67" t="s">
        <v>107</v>
      </c>
      <c r="K484" s="67" t="s">
        <v>108</v>
      </c>
      <c r="L484" s="65" t="s">
        <v>36</v>
      </c>
      <c r="M484" s="68" t="s">
        <v>37</v>
      </c>
      <c r="N484" s="68" t="s">
        <v>29</v>
      </c>
      <c r="O484" s="68" t="s">
        <v>30</v>
      </c>
      <c r="P484" s="69"/>
      <c r="Q484" s="70"/>
      <c r="R484" s="70" t="s">
        <v>31</v>
      </c>
      <c r="S484" s="71">
        <v>45524.495833333298</v>
      </c>
      <c r="T484" s="72" t="s">
        <v>109</v>
      </c>
      <c r="U484" s="63">
        <v>45614.495833333298</v>
      </c>
      <c r="V484" s="64">
        <v>-76</v>
      </c>
    </row>
    <row r="485" spans="1:22" ht="11.25" x14ac:dyDescent="0.2">
      <c r="A485" s="55">
        <v>307159</v>
      </c>
      <c r="B485" s="55" t="s">
        <v>1830</v>
      </c>
      <c r="C485" s="56" t="s">
        <v>1831</v>
      </c>
      <c r="D485" s="56" t="s">
        <v>1831</v>
      </c>
      <c r="E485" s="57" t="s">
        <v>117</v>
      </c>
      <c r="F485" s="56" t="s">
        <v>118</v>
      </c>
      <c r="G485" s="57" t="s">
        <v>23</v>
      </c>
      <c r="H485" s="55" t="s">
        <v>179</v>
      </c>
      <c r="I485" s="57" t="s">
        <v>180</v>
      </c>
      <c r="J485" s="57" t="s">
        <v>107</v>
      </c>
      <c r="K485" s="57" t="s">
        <v>108</v>
      </c>
      <c r="L485" s="55" t="s">
        <v>36</v>
      </c>
      <c r="M485" s="58" t="s">
        <v>37</v>
      </c>
      <c r="N485" s="58" t="s">
        <v>29</v>
      </c>
      <c r="O485" s="58" t="s">
        <v>30</v>
      </c>
      <c r="P485" s="59"/>
      <c r="Q485" s="60"/>
      <c r="R485" s="60" t="s">
        <v>31</v>
      </c>
      <c r="S485" s="61">
        <v>45524.513888888898</v>
      </c>
      <c r="T485" s="62" t="s">
        <v>109</v>
      </c>
      <c r="U485" s="63">
        <v>45614.513888888898</v>
      </c>
      <c r="V485" s="64">
        <v>-76</v>
      </c>
    </row>
    <row r="486" spans="1:22" ht="11.25" x14ac:dyDescent="0.2">
      <c r="A486" s="55">
        <v>307160</v>
      </c>
      <c r="B486" s="55" t="s">
        <v>1832</v>
      </c>
      <c r="C486" s="56" t="s">
        <v>1833</v>
      </c>
      <c r="D486" s="56" t="s">
        <v>1833</v>
      </c>
      <c r="E486" s="57" t="s">
        <v>622</v>
      </c>
      <c r="F486" s="56" t="s">
        <v>623</v>
      </c>
      <c r="G486" s="57" t="s">
        <v>23</v>
      </c>
      <c r="H486" s="55" t="s">
        <v>22</v>
      </c>
      <c r="I486" s="57" t="s">
        <v>24</v>
      </c>
      <c r="J486" s="57" t="s">
        <v>1289</v>
      </c>
      <c r="K486" s="57" t="s">
        <v>1290</v>
      </c>
      <c r="L486" s="55" t="s">
        <v>36</v>
      </c>
      <c r="M486" s="58" t="s">
        <v>37</v>
      </c>
      <c r="N486" s="58" t="s">
        <v>51</v>
      </c>
      <c r="O486" s="58" t="s">
        <v>52</v>
      </c>
      <c r="P486" s="59"/>
      <c r="Q486" s="60"/>
      <c r="R486" s="60" t="s">
        <v>31</v>
      </c>
      <c r="S486" s="61">
        <v>45523.476388888899</v>
      </c>
      <c r="T486" s="62" t="s">
        <v>85</v>
      </c>
      <c r="U486" s="63">
        <v>45616.559722222199</v>
      </c>
      <c r="V486" s="64">
        <v>-78</v>
      </c>
    </row>
    <row r="487" spans="1:22" ht="11.25" x14ac:dyDescent="0.2">
      <c r="A487" s="55">
        <v>307161</v>
      </c>
      <c r="B487" s="55" t="s">
        <v>1834</v>
      </c>
      <c r="C487" s="56" t="s">
        <v>1835</v>
      </c>
      <c r="D487" s="56" t="s">
        <v>1835</v>
      </c>
      <c r="E487" s="57" t="s">
        <v>159</v>
      </c>
      <c r="F487" s="56" t="s">
        <v>160</v>
      </c>
      <c r="G487" s="57" t="s">
        <v>23</v>
      </c>
      <c r="H487" s="55" t="s">
        <v>49</v>
      </c>
      <c r="I487" s="57" t="s">
        <v>50</v>
      </c>
      <c r="J487" s="57" t="s">
        <v>121</v>
      </c>
      <c r="K487" s="57" t="s">
        <v>122</v>
      </c>
      <c r="L487" s="55" t="s">
        <v>36</v>
      </c>
      <c r="M487" s="58" t="s">
        <v>37</v>
      </c>
      <c r="N487" s="58" t="s">
        <v>29</v>
      </c>
      <c r="O487" s="58" t="s">
        <v>30</v>
      </c>
      <c r="P487" s="59">
        <v>45531.59375</v>
      </c>
      <c r="Q487" s="60"/>
      <c r="R487" s="60" t="s">
        <v>31</v>
      </c>
      <c r="S487" s="61">
        <v>45524.355555555601</v>
      </c>
      <c r="T487" s="62" t="s">
        <v>161</v>
      </c>
      <c r="U487" s="63">
        <v>45616.559722222199</v>
      </c>
      <c r="V487" s="64">
        <v>-78</v>
      </c>
    </row>
    <row r="488" spans="1:22" ht="11.25" x14ac:dyDescent="0.2">
      <c r="A488" s="55">
        <v>307163</v>
      </c>
      <c r="B488" s="55" t="s">
        <v>1836</v>
      </c>
      <c r="C488" s="56" t="s">
        <v>1837</v>
      </c>
      <c r="D488" s="56" t="s">
        <v>1837</v>
      </c>
      <c r="E488" s="57" t="s">
        <v>673</v>
      </c>
      <c r="F488" s="56" t="s">
        <v>674</v>
      </c>
      <c r="G488" s="57" t="s">
        <v>23</v>
      </c>
      <c r="H488" s="55" t="s">
        <v>179</v>
      </c>
      <c r="I488" s="57" t="s">
        <v>180</v>
      </c>
      <c r="J488" s="57" t="s">
        <v>1723</v>
      </c>
      <c r="K488" s="57" t="s">
        <v>1724</v>
      </c>
      <c r="L488" s="55" t="s">
        <v>36</v>
      </c>
      <c r="M488" s="58" t="s">
        <v>37</v>
      </c>
      <c r="N488" s="58" t="s">
        <v>201</v>
      </c>
      <c r="O488" s="58" t="s">
        <v>202</v>
      </c>
      <c r="P488" s="59"/>
      <c r="Q488" s="60"/>
      <c r="R488" s="60" t="s">
        <v>31</v>
      </c>
      <c r="S488" s="61">
        <v>45524.311111111099</v>
      </c>
      <c r="T488" s="62" t="s">
        <v>85</v>
      </c>
      <c r="U488" s="63">
        <v>45614.311111111099</v>
      </c>
      <c r="V488" s="64">
        <v>-76</v>
      </c>
    </row>
    <row r="489" spans="1:22" ht="11.25" x14ac:dyDescent="0.2">
      <c r="A489" s="55">
        <v>307164</v>
      </c>
      <c r="B489" s="55" t="s">
        <v>1838</v>
      </c>
      <c r="C489" s="56" t="s">
        <v>1839</v>
      </c>
      <c r="D489" s="56" t="s">
        <v>1839</v>
      </c>
      <c r="E489" s="57" t="s">
        <v>203</v>
      </c>
      <c r="F489" s="56" t="s">
        <v>204</v>
      </c>
      <c r="G489" s="57" t="s">
        <v>23</v>
      </c>
      <c r="H489" s="55" t="s">
        <v>34</v>
      </c>
      <c r="I489" s="57" t="s">
        <v>35</v>
      </c>
      <c r="J489" s="57" t="s">
        <v>121</v>
      </c>
      <c r="K489" s="57" t="s">
        <v>122</v>
      </c>
      <c r="L489" s="55" t="s">
        <v>36</v>
      </c>
      <c r="M489" s="58" t="s">
        <v>37</v>
      </c>
      <c r="N489" s="58" t="s">
        <v>29</v>
      </c>
      <c r="O489" s="58" t="s">
        <v>30</v>
      </c>
      <c r="P489" s="59">
        <v>45527.59375</v>
      </c>
      <c r="Q489" s="60"/>
      <c r="R489" s="60" t="s">
        <v>31</v>
      </c>
      <c r="S489" s="61">
        <v>45524.2993055556</v>
      </c>
      <c r="T489" s="62" t="s">
        <v>193</v>
      </c>
      <c r="U489" s="63">
        <v>45616.559722222199</v>
      </c>
      <c r="V489" s="64">
        <v>-78</v>
      </c>
    </row>
    <row r="490" spans="1:22" ht="11.25" x14ac:dyDescent="0.2">
      <c r="A490" s="55">
        <v>307165</v>
      </c>
      <c r="B490" s="55" t="s">
        <v>1840</v>
      </c>
      <c r="C490" s="56" t="s">
        <v>1841</v>
      </c>
      <c r="D490" s="56" t="s">
        <v>1841</v>
      </c>
      <c r="E490" s="57" t="s">
        <v>673</v>
      </c>
      <c r="F490" s="56" t="s">
        <v>674</v>
      </c>
      <c r="G490" s="57" t="s">
        <v>23</v>
      </c>
      <c r="H490" s="55" t="s">
        <v>179</v>
      </c>
      <c r="I490" s="57" t="s">
        <v>180</v>
      </c>
      <c r="J490" s="57" t="s">
        <v>1723</v>
      </c>
      <c r="K490" s="57" t="s">
        <v>1724</v>
      </c>
      <c r="L490" s="55" t="s">
        <v>36</v>
      </c>
      <c r="M490" s="58" t="s">
        <v>37</v>
      </c>
      <c r="N490" s="58" t="s">
        <v>57</v>
      </c>
      <c r="O490" s="58" t="s">
        <v>58</v>
      </c>
      <c r="P490" s="59"/>
      <c r="Q490" s="60"/>
      <c r="R490" s="60" t="s">
        <v>31</v>
      </c>
      <c r="S490" s="61">
        <v>45524.313888888901</v>
      </c>
      <c r="T490" s="62" t="s">
        <v>85</v>
      </c>
      <c r="U490" s="63">
        <v>45614.313888888901</v>
      </c>
      <c r="V490" s="64">
        <v>-76</v>
      </c>
    </row>
    <row r="491" spans="1:22" ht="11.25" x14ac:dyDescent="0.2">
      <c r="A491" s="55">
        <v>307167</v>
      </c>
      <c r="B491" s="55" t="s">
        <v>1842</v>
      </c>
      <c r="C491" s="56" t="s">
        <v>1843</v>
      </c>
      <c r="D491" s="56" t="s">
        <v>1843</v>
      </c>
      <c r="E491" s="57" t="s">
        <v>78</v>
      </c>
      <c r="F491" s="56" t="s">
        <v>79</v>
      </c>
      <c r="G491" s="57" t="s">
        <v>23</v>
      </c>
      <c r="H491" s="55" t="s">
        <v>34</v>
      </c>
      <c r="I491" s="57" t="s">
        <v>35</v>
      </c>
      <c r="J491" s="57" t="s">
        <v>121</v>
      </c>
      <c r="K491" s="57" t="s">
        <v>122</v>
      </c>
      <c r="L491" s="55" t="s">
        <v>36</v>
      </c>
      <c r="M491" s="58" t="s">
        <v>37</v>
      </c>
      <c r="N491" s="58" t="s">
        <v>29</v>
      </c>
      <c r="O491" s="58" t="s">
        <v>30</v>
      </c>
      <c r="P491" s="59">
        <v>45527.59375</v>
      </c>
      <c r="Q491" s="60"/>
      <c r="R491" s="60" t="s">
        <v>31</v>
      </c>
      <c r="S491" s="61">
        <v>45524.347222222197</v>
      </c>
      <c r="T491" s="62" t="s">
        <v>80</v>
      </c>
      <c r="U491" s="63">
        <v>45616.559722222199</v>
      </c>
      <c r="V491" s="64">
        <v>-78</v>
      </c>
    </row>
    <row r="492" spans="1:22" ht="11.25" x14ac:dyDescent="0.2">
      <c r="A492" s="55">
        <v>307169</v>
      </c>
      <c r="B492" s="55" t="s">
        <v>1844</v>
      </c>
      <c r="C492" s="56" t="s">
        <v>1845</v>
      </c>
      <c r="D492" s="56" t="s">
        <v>1845</v>
      </c>
      <c r="E492" s="57" t="s">
        <v>1011</v>
      </c>
      <c r="F492" s="56" t="s">
        <v>1012</v>
      </c>
      <c r="G492" s="57" t="s">
        <v>23</v>
      </c>
      <c r="H492" s="55" t="s">
        <v>49</v>
      </c>
      <c r="I492" s="57" t="s">
        <v>50</v>
      </c>
      <c r="J492" s="57" t="s">
        <v>121</v>
      </c>
      <c r="K492" s="57" t="s">
        <v>122</v>
      </c>
      <c r="L492" s="55" t="s">
        <v>36</v>
      </c>
      <c r="M492" s="58" t="s">
        <v>37</v>
      </c>
      <c r="N492" s="58" t="s">
        <v>38</v>
      </c>
      <c r="O492" s="58" t="s">
        <v>39</v>
      </c>
      <c r="P492" s="59">
        <v>45527.604861111096</v>
      </c>
      <c r="Q492" s="60"/>
      <c r="R492" s="60" t="s">
        <v>31</v>
      </c>
      <c r="S492" s="61">
        <v>45524.2631944444</v>
      </c>
      <c r="T492" s="62" t="s">
        <v>80</v>
      </c>
      <c r="U492" s="63">
        <v>45616.559722222199</v>
      </c>
      <c r="V492" s="64">
        <v>-78</v>
      </c>
    </row>
    <row r="493" spans="1:22" ht="11.25" x14ac:dyDescent="0.2">
      <c r="A493" s="55">
        <v>307173</v>
      </c>
      <c r="B493" s="55" t="s">
        <v>1846</v>
      </c>
      <c r="C493" s="56" t="s">
        <v>1847</v>
      </c>
      <c r="D493" s="56" t="s">
        <v>1848</v>
      </c>
      <c r="E493" s="57" t="s">
        <v>1849</v>
      </c>
      <c r="F493" s="56" t="s">
        <v>1850</v>
      </c>
      <c r="G493" s="57" t="s">
        <v>23</v>
      </c>
      <c r="H493" s="55" t="s">
        <v>22</v>
      </c>
      <c r="I493" s="57" t="s">
        <v>24</v>
      </c>
      <c r="J493" s="57" t="s">
        <v>121</v>
      </c>
      <c r="K493" s="57" t="s">
        <v>122</v>
      </c>
      <c r="L493" s="55" t="s">
        <v>36</v>
      </c>
      <c r="M493" s="58" t="s">
        <v>37</v>
      </c>
      <c r="N493" s="58" t="s">
        <v>29</v>
      </c>
      <c r="O493" s="58" t="s">
        <v>30</v>
      </c>
      <c r="P493" s="59">
        <v>45531.359027777798</v>
      </c>
      <c r="Q493" s="60"/>
      <c r="R493" s="60" t="s">
        <v>31</v>
      </c>
      <c r="S493" s="61">
        <v>45523.315277777801</v>
      </c>
      <c r="T493" s="62" t="s">
        <v>80</v>
      </c>
      <c r="U493" s="63">
        <v>45616.559722222199</v>
      </c>
      <c r="V493" s="64">
        <v>-78</v>
      </c>
    </row>
    <row r="494" spans="1:22" ht="11.25" x14ac:dyDescent="0.2">
      <c r="A494" s="55">
        <v>307174</v>
      </c>
      <c r="B494" s="55" t="s">
        <v>1851</v>
      </c>
      <c r="C494" s="56" t="s">
        <v>1852</v>
      </c>
      <c r="D494" s="56" t="s">
        <v>1853</v>
      </c>
      <c r="E494" s="57" t="s">
        <v>1854</v>
      </c>
      <c r="F494" s="56" t="s">
        <v>1855</v>
      </c>
      <c r="G494" s="57" t="s">
        <v>23</v>
      </c>
      <c r="H494" s="55" t="s">
        <v>22</v>
      </c>
      <c r="I494" s="57" t="s">
        <v>24</v>
      </c>
      <c r="J494" s="57" t="s">
        <v>121</v>
      </c>
      <c r="K494" s="57" t="s">
        <v>122</v>
      </c>
      <c r="L494" s="55" t="s">
        <v>36</v>
      </c>
      <c r="M494" s="58" t="s">
        <v>37</v>
      </c>
      <c r="N494" s="58" t="s">
        <v>29</v>
      </c>
      <c r="O494" s="58" t="s">
        <v>30</v>
      </c>
      <c r="P494" s="59">
        <v>45531.359722222202</v>
      </c>
      <c r="Q494" s="60"/>
      <c r="R494" s="60" t="s">
        <v>31</v>
      </c>
      <c r="S494" s="61">
        <v>45523.320138888899</v>
      </c>
      <c r="T494" s="62" t="s">
        <v>80</v>
      </c>
      <c r="U494" s="63">
        <v>45616.559722222199</v>
      </c>
      <c r="V494" s="64">
        <v>-78</v>
      </c>
    </row>
    <row r="495" spans="1:22" ht="11.25" x14ac:dyDescent="0.2">
      <c r="A495" s="55">
        <v>307176</v>
      </c>
      <c r="B495" s="55" t="s">
        <v>1856</v>
      </c>
      <c r="C495" s="56" t="s">
        <v>1857</v>
      </c>
      <c r="D495" s="56" t="s">
        <v>1857</v>
      </c>
      <c r="E495" s="57" t="s">
        <v>1858</v>
      </c>
      <c r="F495" s="56" t="s">
        <v>1859</v>
      </c>
      <c r="G495" s="57" t="s">
        <v>23</v>
      </c>
      <c r="H495" s="55" t="s">
        <v>22</v>
      </c>
      <c r="I495" s="57" t="s">
        <v>24</v>
      </c>
      <c r="J495" s="57" t="s">
        <v>121</v>
      </c>
      <c r="K495" s="57" t="s">
        <v>122</v>
      </c>
      <c r="L495" s="55" t="s">
        <v>36</v>
      </c>
      <c r="M495" s="58" t="s">
        <v>37</v>
      </c>
      <c r="N495" s="58" t="s">
        <v>29</v>
      </c>
      <c r="O495" s="58" t="s">
        <v>30</v>
      </c>
      <c r="P495" s="59">
        <v>45530.356249999997</v>
      </c>
      <c r="Q495" s="60"/>
      <c r="R495" s="60" t="s">
        <v>31</v>
      </c>
      <c r="S495" s="61">
        <v>45523.331944444399</v>
      </c>
      <c r="T495" s="62" t="s">
        <v>80</v>
      </c>
      <c r="U495" s="63">
        <v>45616.559722222199</v>
      </c>
      <c r="V495" s="64">
        <v>-78</v>
      </c>
    </row>
    <row r="496" spans="1:22" ht="11.25" x14ac:dyDescent="0.2">
      <c r="A496" s="55">
        <v>307177</v>
      </c>
      <c r="B496" s="55" t="s">
        <v>1860</v>
      </c>
      <c r="C496" s="56" t="s">
        <v>1861</v>
      </c>
      <c r="D496" s="56" t="s">
        <v>1861</v>
      </c>
      <c r="E496" s="57" t="s">
        <v>223</v>
      </c>
      <c r="F496" s="56" t="s">
        <v>224</v>
      </c>
      <c r="G496" s="57" t="s">
        <v>23</v>
      </c>
      <c r="H496" s="55" t="s">
        <v>179</v>
      </c>
      <c r="I496" s="57" t="s">
        <v>180</v>
      </c>
      <c r="J496" s="57" t="s">
        <v>649</v>
      </c>
      <c r="K496" s="57" t="s">
        <v>650</v>
      </c>
      <c r="L496" s="55" t="s">
        <v>36</v>
      </c>
      <c r="M496" s="58" t="s">
        <v>37</v>
      </c>
      <c r="N496" s="58" t="s">
        <v>51</v>
      </c>
      <c r="O496" s="58" t="s">
        <v>52</v>
      </c>
      <c r="P496" s="59"/>
      <c r="Q496" s="60"/>
      <c r="R496" s="60" t="s">
        <v>31</v>
      </c>
      <c r="S496" s="61">
        <v>45521.474999999999</v>
      </c>
      <c r="T496" s="62" t="s">
        <v>135</v>
      </c>
      <c r="U496" s="63">
        <v>45611.474999999999</v>
      </c>
      <c r="V496" s="64">
        <v>-73</v>
      </c>
    </row>
    <row r="497" spans="1:22" ht="11.25" x14ac:dyDescent="0.2">
      <c r="A497" s="55">
        <v>307178</v>
      </c>
      <c r="B497" s="55" t="s">
        <v>1862</v>
      </c>
      <c r="C497" s="56" t="s">
        <v>1863</v>
      </c>
      <c r="D497" s="56" t="s">
        <v>1863</v>
      </c>
      <c r="E497" s="57" t="s">
        <v>223</v>
      </c>
      <c r="F497" s="56" t="s">
        <v>224</v>
      </c>
      <c r="G497" s="57" t="s">
        <v>23</v>
      </c>
      <c r="H497" s="55" t="s">
        <v>179</v>
      </c>
      <c r="I497" s="57" t="s">
        <v>180</v>
      </c>
      <c r="J497" s="57" t="s">
        <v>327</v>
      </c>
      <c r="K497" s="57" t="s">
        <v>328</v>
      </c>
      <c r="L497" s="55" t="s">
        <v>36</v>
      </c>
      <c r="M497" s="58" t="s">
        <v>37</v>
      </c>
      <c r="N497" s="58" t="s">
        <v>57</v>
      </c>
      <c r="O497" s="58" t="s">
        <v>58</v>
      </c>
      <c r="P497" s="59"/>
      <c r="Q497" s="60"/>
      <c r="R497" s="60" t="s">
        <v>31</v>
      </c>
      <c r="S497" s="61">
        <v>45519.498611111099</v>
      </c>
      <c r="T497" s="62" t="s">
        <v>135</v>
      </c>
      <c r="U497" s="63">
        <v>45609.498611111099</v>
      </c>
      <c r="V497" s="64">
        <v>-71</v>
      </c>
    </row>
    <row r="498" spans="1:22" ht="11.25" x14ac:dyDescent="0.2">
      <c r="A498" s="55">
        <v>307179</v>
      </c>
      <c r="B498" s="55" t="s">
        <v>1864</v>
      </c>
      <c r="C498" s="56" t="s">
        <v>1865</v>
      </c>
      <c r="D498" s="56" t="s">
        <v>1865</v>
      </c>
      <c r="E498" s="57" t="s">
        <v>659</v>
      </c>
      <c r="F498" s="56" t="s">
        <v>660</v>
      </c>
      <c r="G498" s="57" t="s">
        <v>23</v>
      </c>
      <c r="H498" s="55" t="s">
        <v>22</v>
      </c>
      <c r="I498" s="57" t="s">
        <v>24</v>
      </c>
      <c r="J498" s="57" t="s">
        <v>649</v>
      </c>
      <c r="K498" s="57" t="s">
        <v>650</v>
      </c>
      <c r="L498" s="55" t="s">
        <v>36</v>
      </c>
      <c r="M498" s="58" t="s">
        <v>37</v>
      </c>
      <c r="N498" s="58" t="s">
        <v>51</v>
      </c>
      <c r="O498" s="58" t="s">
        <v>52</v>
      </c>
      <c r="P498" s="59">
        <v>45530.398611111101</v>
      </c>
      <c r="Q498" s="60"/>
      <c r="R498" s="60" t="s">
        <v>31</v>
      </c>
      <c r="S498" s="61">
        <v>45521.436805555597</v>
      </c>
      <c r="T498" s="62" t="s">
        <v>85</v>
      </c>
      <c r="U498" s="63">
        <v>45616.559722222199</v>
      </c>
      <c r="V498" s="64">
        <v>-78</v>
      </c>
    </row>
    <row r="499" spans="1:22" ht="11.25" x14ac:dyDescent="0.2">
      <c r="A499" s="55">
        <v>307180</v>
      </c>
      <c r="B499" s="55" t="s">
        <v>1866</v>
      </c>
      <c r="C499" s="56" t="s">
        <v>1867</v>
      </c>
      <c r="D499" s="56" t="s">
        <v>1867</v>
      </c>
      <c r="E499" s="57" t="s">
        <v>355</v>
      </c>
      <c r="F499" s="56" t="s">
        <v>356</v>
      </c>
      <c r="G499" s="57" t="s">
        <v>23</v>
      </c>
      <c r="H499" s="55" t="s">
        <v>22</v>
      </c>
      <c r="I499" s="57" t="s">
        <v>24</v>
      </c>
      <c r="J499" s="57" t="s">
        <v>649</v>
      </c>
      <c r="K499" s="57" t="s">
        <v>650</v>
      </c>
      <c r="L499" s="55" t="s">
        <v>36</v>
      </c>
      <c r="M499" s="58" t="s">
        <v>37</v>
      </c>
      <c r="N499" s="58" t="s">
        <v>51</v>
      </c>
      <c r="O499" s="58" t="s">
        <v>52</v>
      </c>
      <c r="P499" s="59">
        <v>45530.399305555598</v>
      </c>
      <c r="Q499" s="60"/>
      <c r="R499" s="60" t="s">
        <v>31</v>
      </c>
      <c r="S499" s="61">
        <v>45521.618055555598</v>
      </c>
      <c r="T499" s="62" t="s">
        <v>85</v>
      </c>
      <c r="U499" s="63">
        <v>45616.559722222199</v>
      </c>
      <c r="V499" s="64">
        <v>-78</v>
      </c>
    </row>
    <row r="500" spans="1:22" ht="11.25" x14ac:dyDescent="0.2">
      <c r="A500" s="55">
        <v>307181</v>
      </c>
      <c r="B500" s="55" t="s">
        <v>1868</v>
      </c>
      <c r="C500" s="56" t="s">
        <v>1869</v>
      </c>
      <c r="D500" s="56" t="s">
        <v>1869</v>
      </c>
      <c r="E500" s="57" t="s">
        <v>316</v>
      </c>
      <c r="F500" s="56" t="s">
        <v>317</v>
      </c>
      <c r="G500" s="57" t="s">
        <v>23</v>
      </c>
      <c r="H500" s="55" t="s">
        <v>22</v>
      </c>
      <c r="I500" s="57" t="s">
        <v>24</v>
      </c>
      <c r="J500" s="57" t="s">
        <v>649</v>
      </c>
      <c r="K500" s="57" t="s">
        <v>650</v>
      </c>
      <c r="L500" s="55" t="s">
        <v>36</v>
      </c>
      <c r="M500" s="58" t="s">
        <v>37</v>
      </c>
      <c r="N500" s="58" t="s">
        <v>51</v>
      </c>
      <c r="O500" s="58" t="s">
        <v>52</v>
      </c>
      <c r="P500" s="59"/>
      <c r="Q500" s="60"/>
      <c r="R500" s="60" t="s">
        <v>31</v>
      </c>
      <c r="S500" s="61">
        <v>45521.620833333298</v>
      </c>
      <c r="T500" s="62" t="s">
        <v>85</v>
      </c>
      <c r="U500" s="63">
        <v>45616.559722222199</v>
      </c>
      <c r="V500" s="64">
        <v>-78</v>
      </c>
    </row>
    <row r="501" spans="1:22" ht="11.25" x14ac:dyDescent="0.2">
      <c r="A501" s="55">
        <v>307184</v>
      </c>
      <c r="B501" s="55" t="s">
        <v>1870</v>
      </c>
      <c r="C501" s="56" t="s">
        <v>1871</v>
      </c>
      <c r="D501" s="56" t="s">
        <v>1871</v>
      </c>
      <c r="E501" s="57" t="s">
        <v>92</v>
      </c>
      <c r="F501" s="56" t="s">
        <v>93</v>
      </c>
      <c r="G501" s="57" t="s">
        <v>23</v>
      </c>
      <c r="H501" s="55" t="s">
        <v>179</v>
      </c>
      <c r="I501" s="57" t="s">
        <v>180</v>
      </c>
      <c r="J501" s="57" t="s">
        <v>507</v>
      </c>
      <c r="K501" s="57" t="s">
        <v>508</v>
      </c>
      <c r="L501" s="55" t="s">
        <v>36</v>
      </c>
      <c r="M501" s="58" t="s">
        <v>37</v>
      </c>
      <c r="N501" s="58" t="s">
        <v>57</v>
      </c>
      <c r="O501" s="58" t="s">
        <v>58</v>
      </c>
      <c r="P501" s="59"/>
      <c r="Q501" s="60"/>
      <c r="R501" s="60" t="s">
        <v>31</v>
      </c>
      <c r="S501" s="61">
        <v>45518.828472222202</v>
      </c>
      <c r="T501" s="62" t="s">
        <v>96</v>
      </c>
      <c r="U501" s="63">
        <v>45608.828472222202</v>
      </c>
      <c r="V501" s="64">
        <v>-70</v>
      </c>
    </row>
    <row r="502" spans="1:22" ht="11.25" x14ac:dyDescent="0.2">
      <c r="A502" s="55">
        <v>307185</v>
      </c>
      <c r="B502" s="55" t="s">
        <v>1872</v>
      </c>
      <c r="C502" s="56" t="s">
        <v>1873</v>
      </c>
      <c r="D502" s="56" t="s">
        <v>1873</v>
      </c>
      <c r="E502" s="57" t="s">
        <v>659</v>
      </c>
      <c r="F502" s="56" t="s">
        <v>660</v>
      </c>
      <c r="G502" s="57" t="s">
        <v>23</v>
      </c>
      <c r="H502" s="55" t="s">
        <v>179</v>
      </c>
      <c r="I502" s="57" t="s">
        <v>180</v>
      </c>
      <c r="J502" s="57" t="s">
        <v>649</v>
      </c>
      <c r="K502" s="57" t="s">
        <v>650</v>
      </c>
      <c r="L502" s="55" t="s">
        <v>36</v>
      </c>
      <c r="M502" s="58" t="s">
        <v>37</v>
      </c>
      <c r="N502" s="58" t="s">
        <v>83</v>
      </c>
      <c r="O502" s="58" t="s">
        <v>84</v>
      </c>
      <c r="P502" s="59"/>
      <c r="Q502" s="60"/>
      <c r="R502" s="60" t="s">
        <v>31</v>
      </c>
      <c r="S502" s="61">
        <v>45521.4375</v>
      </c>
      <c r="T502" s="62" t="s">
        <v>85</v>
      </c>
      <c r="U502" s="63">
        <v>45611.4375</v>
      </c>
      <c r="V502" s="64">
        <v>-73</v>
      </c>
    </row>
    <row r="503" spans="1:22" ht="11.25" x14ac:dyDescent="0.2">
      <c r="A503" s="55">
        <v>307186</v>
      </c>
      <c r="B503" s="55" t="s">
        <v>1874</v>
      </c>
      <c r="C503" s="56" t="s">
        <v>1875</v>
      </c>
      <c r="D503" s="56" t="s">
        <v>1875</v>
      </c>
      <c r="E503" s="57" t="s">
        <v>183</v>
      </c>
      <c r="F503" s="56" t="s">
        <v>184</v>
      </c>
      <c r="G503" s="57" t="s">
        <v>23</v>
      </c>
      <c r="H503" s="55" t="s">
        <v>34</v>
      </c>
      <c r="I503" s="57" t="s">
        <v>35</v>
      </c>
      <c r="J503" s="57" t="s">
        <v>808</v>
      </c>
      <c r="K503" s="57" t="s">
        <v>809</v>
      </c>
      <c r="L503" s="55" t="s">
        <v>36</v>
      </c>
      <c r="M503" s="58" t="s">
        <v>37</v>
      </c>
      <c r="N503" s="58" t="s">
        <v>38</v>
      </c>
      <c r="O503" s="58" t="s">
        <v>39</v>
      </c>
      <c r="P503" s="59">
        <v>45533.690277777801</v>
      </c>
      <c r="Q503" s="60"/>
      <c r="R503" s="60" t="s">
        <v>31</v>
      </c>
      <c r="S503" s="61">
        <v>45520.607638888898</v>
      </c>
      <c r="T503" s="62" t="s">
        <v>161</v>
      </c>
      <c r="U503" s="63">
        <v>45616.559722222199</v>
      </c>
      <c r="V503" s="64">
        <v>-78</v>
      </c>
    </row>
    <row r="504" spans="1:22" ht="11.25" x14ac:dyDescent="0.2">
      <c r="A504" s="55">
        <v>307187</v>
      </c>
      <c r="B504" s="55" t="s">
        <v>1876</v>
      </c>
      <c r="C504" s="56" t="s">
        <v>1877</v>
      </c>
      <c r="D504" s="56" t="s">
        <v>1877</v>
      </c>
      <c r="E504" s="57" t="s">
        <v>1435</v>
      </c>
      <c r="F504" s="56" t="s">
        <v>1436</v>
      </c>
      <c r="G504" s="57" t="s">
        <v>23</v>
      </c>
      <c r="H504" s="55" t="s">
        <v>34</v>
      </c>
      <c r="I504" s="57" t="s">
        <v>35</v>
      </c>
      <c r="J504" s="57" t="s">
        <v>507</v>
      </c>
      <c r="K504" s="57" t="s">
        <v>508</v>
      </c>
      <c r="L504" s="55" t="s">
        <v>36</v>
      </c>
      <c r="M504" s="58" t="s">
        <v>37</v>
      </c>
      <c r="N504" s="58" t="s">
        <v>83</v>
      </c>
      <c r="O504" s="58" t="s">
        <v>84</v>
      </c>
      <c r="P504" s="59">
        <v>45530.398611111101</v>
      </c>
      <c r="Q504" s="60"/>
      <c r="R504" s="60" t="s">
        <v>31</v>
      </c>
      <c r="S504" s="61">
        <v>45520.293749999997</v>
      </c>
      <c r="T504" s="62" t="s">
        <v>1274</v>
      </c>
      <c r="U504" s="63">
        <v>45616.559722222199</v>
      </c>
      <c r="V504" s="64">
        <v>-78</v>
      </c>
    </row>
    <row r="505" spans="1:22" ht="11.25" x14ac:dyDescent="0.2">
      <c r="A505" s="55">
        <v>307188</v>
      </c>
      <c r="B505" s="55" t="s">
        <v>1878</v>
      </c>
      <c r="C505" s="56" t="s">
        <v>1879</v>
      </c>
      <c r="D505" s="56" t="s">
        <v>1879</v>
      </c>
      <c r="E505" s="57" t="s">
        <v>659</v>
      </c>
      <c r="F505" s="56" t="s">
        <v>660</v>
      </c>
      <c r="G505" s="57" t="s">
        <v>23</v>
      </c>
      <c r="H505" s="55" t="s">
        <v>179</v>
      </c>
      <c r="I505" s="57" t="s">
        <v>180</v>
      </c>
      <c r="J505" s="57" t="s">
        <v>649</v>
      </c>
      <c r="K505" s="57" t="s">
        <v>650</v>
      </c>
      <c r="L505" s="55" t="s">
        <v>36</v>
      </c>
      <c r="M505" s="58" t="s">
        <v>37</v>
      </c>
      <c r="N505" s="58" t="s">
        <v>83</v>
      </c>
      <c r="O505" s="58" t="s">
        <v>84</v>
      </c>
      <c r="P505" s="59"/>
      <c r="Q505" s="60"/>
      <c r="R505" s="60" t="s">
        <v>31</v>
      </c>
      <c r="S505" s="61">
        <v>45521.436111111099</v>
      </c>
      <c r="T505" s="62" t="s">
        <v>85</v>
      </c>
      <c r="U505" s="63">
        <v>45611.436111111099</v>
      </c>
      <c r="V505" s="64">
        <v>-73</v>
      </c>
    </row>
    <row r="506" spans="1:22" ht="11.25" x14ac:dyDescent="0.2">
      <c r="A506" s="55">
        <v>307189</v>
      </c>
      <c r="B506" s="55" t="s">
        <v>1880</v>
      </c>
      <c r="C506" s="56" t="s">
        <v>1881</v>
      </c>
      <c r="D506" s="56" t="s">
        <v>1881</v>
      </c>
      <c r="E506" s="57" t="s">
        <v>1882</v>
      </c>
      <c r="F506" s="56" t="s">
        <v>1883</v>
      </c>
      <c r="G506" s="57" t="s">
        <v>33</v>
      </c>
      <c r="H506" s="55" t="s">
        <v>179</v>
      </c>
      <c r="I506" s="57" t="s">
        <v>180</v>
      </c>
      <c r="J506" s="57" t="s">
        <v>66</v>
      </c>
      <c r="K506" s="57" t="s">
        <v>67</v>
      </c>
      <c r="L506" s="55" t="s">
        <v>36</v>
      </c>
      <c r="M506" s="58" t="s">
        <v>37</v>
      </c>
      <c r="N506" s="58" t="s">
        <v>76</v>
      </c>
      <c r="O506" s="58" t="s">
        <v>77</v>
      </c>
      <c r="P506" s="59"/>
      <c r="Q506" s="60"/>
      <c r="R506" s="60" t="s">
        <v>31</v>
      </c>
      <c r="S506" s="61">
        <v>45526.376388888901</v>
      </c>
      <c r="T506" s="62" t="s">
        <v>1204</v>
      </c>
      <c r="U506" s="63">
        <v>45616.376388888901</v>
      </c>
      <c r="V506" s="64">
        <v>-78</v>
      </c>
    </row>
    <row r="507" spans="1:22" ht="11.25" x14ac:dyDescent="0.2">
      <c r="A507" s="55">
        <v>307190</v>
      </c>
      <c r="B507" s="55" t="s">
        <v>1884</v>
      </c>
      <c r="C507" s="56" t="s">
        <v>1885</v>
      </c>
      <c r="D507" s="56" t="s">
        <v>1885</v>
      </c>
      <c r="E507" s="57" t="s">
        <v>1886</v>
      </c>
      <c r="F507" s="56" t="s">
        <v>1887</v>
      </c>
      <c r="G507" s="57" t="s">
        <v>48</v>
      </c>
      <c r="H507" s="55" t="s">
        <v>34</v>
      </c>
      <c r="I507" s="57" t="s">
        <v>35</v>
      </c>
      <c r="J507" s="57" t="s">
        <v>1888</v>
      </c>
      <c r="K507" s="57" t="s">
        <v>1889</v>
      </c>
      <c r="L507" s="55" t="s">
        <v>36</v>
      </c>
      <c r="M507" s="58" t="s">
        <v>37</v>
      </c>
      <c r="N507" s="58" t="s">
        <v>38</v>
      </c>
      <c r="O507" s="58" t="s">
        <v>39</v>
      </c>
      <c r="P507" s="59">
        <v>45531.686805555597</v>
      </c>
      <c r="Q507" s="60"/>
      <c r="R507" s="60" t="s">
        <v>31</v>
      </c>
      <c r="S507" s="61">
        <v>45526.388888888898</v>
      </c>
      <c r="T507" s="62" t="s">
        <v>1157</v>
      </c>
      <c r="U507" s="63">
        <v>45616.388888888898</v>
      </c>
      <c r="V507" s="64">
        <v>-78</v>
      </c>
    </row>
    <row r="508" spans="1:22" ht="11.25" x14ac:dyDescent="0.2">
      <c r="A508" s="55">
        <v>307191</v>
      </c>
      <c r="B508" s="55" t="s">
        <v>1890</v>
      </c>
      <c r="C508" s="56" t="s">
        <v>1891</v>
      </c>
      <c r="D508" s="56" t="s">
        <v>1891</v>
      </c>
      <c r="E508" s="57" t="s">
        <v>1892</v>
      </c>
      <c r="F508" s="56" t="s">
        <v>1893</v>
      </c>
      <c r="G508" s="57" t="s">
        <v>33</v>
      </c>
      <c r="H508" s="55" t="s">
        <v>34</v>
      </c>
      <c r="I508" s="57" t="s">
        <v>35</v>
      </c>
      <c r="J508" s="57" t="s">
        <v>71</v>
      </c>
      <c r="K508" s="57" t="s">
        <v>72</v>
      </c>
      <c r="L508" s="55" t="s">
        <v>36</v>
      </c>
      <c r="M508" s="58" t="s">
        <v>37</v>
      </c>
      <c r="N508" s="58" t="s">
        <v>57</v>
      </c>
      <c r="O508" s="58" t="s">
        <v>58</v>
      </c>
      <c r="P508" s="59">
        <v>45530.654166666704</v>
      </c>
      <c r="Q508" s="60"/>
      <c r="R508" s="60" t="s">
        <v>31</v>
      </c>
      <c r="S508" s="61">
        <v>45524.538888888899</v>
      </c>
      <c r="T508" s="62" t="s">
        <v>41</v>
      </c>
      <c r="U508" s="63">
        <v>45616.559722222199</v>
      </c>
      <c r="V508" s="64">
        <v>-78</v>
      </c>
    </row>
    <row r="509" spans="1:22" ht="11.25" x14ac:dyDescent="0.2">
      <c r="A509" s="55">
        <v>307193</v>
      </c>
      <c r="B509" s="55" t="s">
        <v>1894</v>
      </c>
      <c r="C509" s="56" t="s">
        <v>1895</v>
      </c>
      <c r="D509" s="56" t="s">
        <v>1895</v>
      </c>
      <c r="E509" s="57" t="s">
        <v>1362</v>
      </c>
      <c r="F509" s="56" t="s">
        <v>1363</v>
      </c>
      <c r="G509" s="57" t="s">
        <v>33</v>
      </c>
      <c r="H509" s="55" t="s">
        <v>34</v>
      </c>
      <c r="I509" s="57" t="s">
        <v>35</v>
      </c>
      <c r="J509" s="57" t="s">
        <v>1896</v>
      </c>
      <c r="K509" s="57" t="s">
        <v>1897</v>
      </c>
      <c r="L509" s="55" t="s">
        <v>36</v>
      </c>
      <c r="M509" s="58" t="s">
        <v>37</v>
      </c>
      <c r="N509" s="58" t="s">
        <v>57</v>
      </c>
      <c r="O509" s="58" t="s">
        <v>58</v>
      </c>
      <c r="P509" s="59">
        <v>45530.398611111101</v>
      </c>
      <c r="Q509" s="60"/>
      <c r="R509" s="60" t="s">
        <v>31</v>
      </c>
      <c r="S509" s="61">
        <v>45524.461805555598</v>
      </c>
      <c r="T509" s="62" t="s">
        <v>211</v>
      </c>
      <c r="U509" s="63">
        <v>45616.559722222199</v>
      </c>
      <c r="V509" s="64">
        <v>-78</v>
      </c>
    </row>
    <row r="510" spans="1:22" ht="11.25" x14ac:dyDescent="0.2">
      <c r="A510" s="55">
        <v>307194</v>
      </c>
      <c r="B510" s="55" t="s">
        <v>1898</v>
      </c>
      <c r="C510" s="56" t="s">
        <v>1899</v>
      </c>
      <c r="D510" s="56" t="s">
        <v>1899</v>
      </c>
      <c r="E510" s="57" t="s">
        <v>1900</v>
      </c>
      <c r="F510" s="56" t="s">
        <v>1901</v>
      </c>
      <c r="G510" s="57" t="s">
        <v>48</v>
      </c>
      <c r="H510" s="55" t="s">
        <v>34</v>
      </c>
      <c r="I510" s="57" t="s">
        <v>35</v>
      </c>
      <c r="J510" s="57" t="s">
        <v>1902</v>
      </c>
      <c r="K510" s="57" t="s">
        <v>1903</v>
      </c>
      <c r="L510" s="55" t="s">
        <v>36</v>
      </c>
      <c r="M510" s="58" t="s">
        <v>37</v>
      </c>
      <c r="N510" s="58" t="s">
        <v>38</v>
      </c>
      <c r="O510" s="58" t="s">
        <v>39</v>
      </c>
      <c r="P510" s="59">
        <v>45532.654861111099</v>
      </c>
      <c r="Q510" s="60"/>
      <c r="R510" s="60" t="s">
        <v>31</v>
      </c>
      <c r="S510" s="61">
        <v>45520.361111111102</v>
      </c>
      <c r="T510" s="62" t="s">
        <v>1904</v>
      </c>
      <c r="U510" s="63">
        <v>45616.559722222199</v>
      </c>
      <c r="V510" s="64">
        <v>-78</v>
      </c>
    </row>
    <row r="511" spans="1:22" ht="11.25" x14ac:dyDescent="0.2">
      <c r="A511" s="55">
        <v>307195</v>
      </c>
      <c r="B511" s="55" t="s">
        <v>1905</v>
      </c>
      <c r="C511" s="56" t="s">
        <v>1906</v>
      </c>
      <c r="D511" s="56" t="s">
        <v>1906</v>
      </c>
      <c r="E511" s="57" t="s">
        <v>1907</v>
      </c>
      <c r="F511" s="56" t="s">
        <v>1908</v>
      </c>
      <c r="G511" s="57" t="s">
        <v>33</v>
      </c>
      <c r="H511" s="55" t="s">
        <v>49</v>
      </c>
      <c r="I511" s="57" t="s">
        <v>50</v>
      </c>
      <c r="J511" s="57" t="s">
        <v>1896</v>
      </c>
      <c r="K511" s="57" t="s">
        <v>1897</v>
      </c>
      <c r="L511" s="55" t="s">
        <v>36</v>
      </c>
      <c r="M511" s="58" t="s">
        <v>37</v>
      </c>
      <c r="N511" s="58" t="s">
        <v>57</v>
      </c>
      <c r="O511" s="58" t="s">
        <v>58</v>
      </c>
      <c r="P511" s="59">
        <v>45532.655555555597</v>
      </c>
      <c r="Q511" s="60"/>
      <c r="R511" s="60" t="s">
        <v>40</v>
      </c>
      <c r="S511" s="61">
        <v>45524.293749999997</v>
      </c>
      <c r="T511" s="62" t="s">
        <v>211</v>
      </c>
      <c r="U511" s="63">
        <v>45526.559722222199</v>
      </c>
      <c r="V511" s="64">
        <v>12</v>
      </c>
    </row>
    <row r="512" spans="1:22" ht="11.25" x14ac:dyDescent="0.2">
      <c r="A512" s="55">
        <v>307196</v>
      </c>
      <c r="B512" s="55" t="s">
        <v>1909</v>
      </c>
      <c r="C512" s="56" t="s">
        <v>1910</v>
      </c>
      <c r="D512" s="56" t="s">
        <v>1910</v>
      </c>
      <c r="E512" s="57" t="s">
        <v>1911</v>
      </c>
      <c r="F512" s="56" t="s">
        <v>1912</v>
      </c>
      <c r="G512" s="57" t="s">
        <v>33</v>
      </c>
      <c r="H512" s="55" t="s">
        <v>179</v>
      </c>
      <c r="I512" s="57" t="s">
        <v>180</v>
      </c>
      <c r="J512" s="57" t="s">
        <v>1913</v>
      </c>
      <c r="K512" s="57" t="s">
        <v>1914</v>
      </c>
      <c r="L512" s="55" t="s">
        <v>36</v>
      </c>
      <c r="M512" s="58" t="s">
        <v>37</v>
      </c>
      <c r="N512" s="58" t="s">
        <v>76</v>
      </c>
      <c r="O512" s="58" t="s">
        <v>77</v>
      </c>
      <c r="P512" s="59"/>
      <c r="Q512" s="60"/>
      <c r="R512" s="60" t="s">
        <v>31</v>
      </c>
      <c r="S512" s="61">
        <v>45520.520833333299</v>
      </c>
      <c r="T512" s="62" t="s">
        <v>167</v>
      </c>
      <c r="U512" s="63">
        <v>45610.520833333299</v>
      </c>
      <c r="V512" s="64">
        <v>-72</v>
      </c>
    </row>
    <row r="513" spans="1:22" ht="11.25" x14ac:dyDescent="0.2">
      <c r="A513" s="55">
        <v>307198</v>
      </c>
      <c r="B513" s="55" t="s">
        <v>1915</v>
      </c>
      <c r="C513" s="56" t="s">
        <v>1916</v>
      </c>
      <c r="D513" s="56" t="s">
        <v>1916</v>
      </c>
      <c r="E513" s="57" t="s">
        <v>110</v>
      </c>
      <c r="F513" s="56" t="s">
        <v>111</v>
      </c>
      <c r="G513" s="57" t="s">
        <v>33</v>
      </c>
      <c r="H513" s="55" t="s">
        <v>467</v>
      </c>
      <c r="I513" s="57" t="s">
        <v>468</v>
      </c>
      <c r="J513" s="57" t="s">
        <v>66</v>
      </c>
      <c r="K513" s="57" t="s">
        <v>67</v>
      </c>
      <c r="L513" s="55" t="s">
        <v>36</v>
      </c>
      <c r="M513" s="58" t="s">
        <v>37</v>
      </c>
      <c r="N513" s="58" t="s">
        <v>57</v>
      </c>
      <c r="O513" s="58" t="s">
        <v>58</v>
      </c>
      <c r="P513" s="59"/>
      <c r="Q513" s="60">
        <v>45530.673611111102</v>
      </c>
      <c r="R513" s="60" t="s">
        <v>31</v>
      </c>
      <c r="S513" s="61">
        <v>45510.695138888899</v>
      </c>
      <c r="T513" s="62" t="s">
        <v>132</v>
      </c>
      <c r="U513" s="63">
        <v>45616.559722222199</v>
      </c>
      <c r="V513" s="64">
        <v>-78</v>
      </c>
    </row>
    <row r="514" spans="1:22" ht="11.25" x14ac:dyDescent="0.2">
      <c r="A514" s="55">
        <v>307201</v>
      </c>
      <c r="B514" s="55" t="s">
        <v>1884</v>
      </c>
      <c r="C514" s="56" t="s">
        <v>1885</v>
      </c>
      <c r="D514" s="56" t="s">
        <v>1917</v>
      </c>
      <c r="E514" s="57" t="s">
        <v>1886</v>
      </c>
      <c r="F514" s="56" t="s">
        <v>1887</v>
      </c>
      <c r="G514" s="57" t="s">
        <v>48</v>
      </c>
      <c r="H514" s="55" t="s">
        <v>49</v>
      </c>
      <c r="I514" s="57" t="s">
        <v>50</v>
      </c>
      <c r="J514" s="57" t="s">
        <v>1888</v>
      </c>
      <c r="K514" s="57" t="s">
        <v>1889</v>
      </c>
      <c r="L514" s="55" t="s">
        <v>36</v>
      </c>
      <c r="M514" s="58" t="s">
        <v>37</v>
      </c>
      <c r="N514" s="58" t="s">
        <v>38</v>
      </c>
      <c r="O514" s="58" t="s">
        <v>39</v>
      </c>
      <c r="P514" s="59">
        <v>45527.653472222199</v>
      </c>
      <c r="Q514" s="60"/>
      <c r="R514" s="60" t="s">
        <v>31</v>
      </c>
      <c r="S514" s="61">
        <v>45526.395833333299</v>
      </c>
      <c r="T514" s="62"/>
      <c r="U514" s="63">
        <v>45616.652083333298</v>
      </c>
      <c r="V514" s="64">
        <v>-78</v>
      </c>
    </row>
    <row r="515" spans="1:22" ht="11.25" x14ac:dyDescent="0.2">
      <c r="A515" s="55">
        <v>307202</v>
      </c>
      <c r="B515" s="55" t="s">
        <v>1918</v>
      </c>
      <c r="C515" s="56" t="s">
        <v>1919</v>
      </c>
      <c r="D515" s="56" t="s">
        <v>1920</v>
      </c>
      <c r="E515" s="57" t="s">
        <v>63</v>
      </c>
      <c r="F515" s="56" t="s">
        <v>64</v>
      </c>
      <c r="G515" s="57" t="s">
        <v>33</v>
      </c>
      <c r="H515" s="55" t="s">
        <v>34</v>
      </c>
      <c r="I515" s="57" t="s">
        <v>35</v>
      </c>
      <c r="J515" s="57" t="s">
        <v>1806</v>
      </c>
      <c r="K515" s="57" t="s">
        <v>1807</v>
      </c>
      <c r="L515" s="55" t="s">
        <v>36</v>
      </c>
      <c r="M515" s="58" t="s">
        <v>37</v>
      </c>
      <c r="N515" s="58" t="s">
        <v>90</v>
      </c>
      <c r="O515" s="58" t="s">
        <v>91</v>
      </c>
      <c r="P515" s="59">
        <v>45528.270833333299</v>
      </c>
      <c r="Q515" s="60"/>
      <c r="R515" s="60" t="s">
        <v>31</v>
      </c>
      <c r="S515" s="61">
        <v>45527.396527777797</v>
      </c>
      <c r="T515" s="62"/>
      <c r="U515" s="63">
        <v>45617.460416666698</v>
      </c>
      <c r="V515" s="64">
        <v>-79</v>
      </c>
    </row>
    <row r="516" spans="1:22" ht="11.25" x14ac:dyDescent="0.2">
      <c r="A516" s="55">
        <v>307203</v>
      </c>
      <c r="B516" s="55" t="s">
        <v>1921</v>
      </c>
      <c r="C516" s="56" t="s">
        <v>1922</v>
      </c>
      <c r="D516" s="56" t="s">
        <v>1923</v>
      </c>
      <c r="E516" s="57" t="s">
        <v>1924</v>
      </c>
      <c r="F516" s="56" t="s">
        <v>1925</v>
      </c>
      <c r="G516" s="57" t="s">
        <v>33</v>
      </c>
      <c r="H516" s="55" t="s">
        <v>49</v>
      </c>
      <c r="I516" s="57" t="s">
        <v>50</v>
      </c>
      <c r="J516" s="57" t="s">
        <v>66</v>
      </c>
      <c r="K516" s="57" t="s">
        <v>67</v>
      </c>
      <c r="L516" s="55" t="s">
        <v>36</v>
      </c>
      <c r="M516" s="58" t="s">
        <v>37</v>
      </c>
      <c r="N516" s="58" t="s">
        <v>57</v>
      </c>
      <c r="O516" s="58" t="s">
        <v>58</v>
      </c>
      <c r="P516" s="59">
        <v>45530.7006944444</v>
      </c>
      <c r="Q516" s="60"/>
      <c r="R516" s="60" t="s">
        <v>31</v>
      </c>
      <c r="S516" s="61">
        <v>45526</v>
      </c>
      <c r="T516" s="62"/>
      <c r="U516" s="63">
        <v>45617.593055555597</v>
      </c>
      <c r="V516" s="64">
        <v>-79</v>
      </c>
    </row>
    <row r="517" spans="1:22" ht="11.25" x14ac:dyDescent="0.2">
      <c r="A517" s="55">
        <v>307207</v>
      </c>
      <c r="B517" s="55" t="s">
        <v>1926</v>
      </c>
      <c r="C517" s="56" t="s">
        <v>1927</v>
      </c>
      <c r="D517" s="56" t="s">
        <v>1928</v>
      </c>
      <c r="E517" s="57" t="s">
        <v>348</v>
      </c>
      <c r="F517" s="56" t="s">
        <v>349</v>
      </c>
      <c r="G517" s="57" t="s">
        <v>33</v>
      </c>
      <c r="H517" s="55" t="s">
        <v>34</v>
      </c>
      <c r="I517" s="57" t="s">
        <v>35</v>
      </c>
      <c r="J517" s="57" t="s">
        <v>1217</v>
      </c>
      <c r="K517" s="57" t="s">
        <v>992</v>
      </c>
      <c r="L517" s="55" t="s">
        <v>27</v>
      </c>
      <c r="M517" s="58" t="s">
        <v>28</v>
      </c>
      <c r="N517" s="58" t="s">
        <v>90</v>
      </c>
      <c r="O517" s="58" t="s">
        <v>91</v>
      </c>
      <c r="P517" s="59"/>
      <c r="Q517" s="60"/>
      <c r="R517" s="60" t="s">
        <v>40</v>
      </c>
      <c r="S517" s="61">
        <v>45529.4194444444</v>
      </c>
      <c r="T517" s="62"/>
      <c r="U517" s="63">
        <v>45530.418749999997</v>
      </c>
      <c r="V517" s="64">
        <v>8</v>
      </c>
    </row>
    <row r="518" spans="1:22" ht="11.25" x14ac:dyDescent="0.2">
      <c r="A518" s="55">
        <v>307208</v>
      </c>
      <c r="B518" s="55" t="s">
        <v>1929</v>
      </c>
      <c r="C518" s="56" t="s">
        <v>1930</v>
      </c>
      <c r="D518" s="56" t="s">
        <v>1931</v>
      </c>
      <c r="E518" s="57" t="s">
        <v>1932</v>
      </c>
      <c r="F518" s="56" t="s">
        <v>1933</v>
      </c>
      <c r="G518" s="57" t="s">
        <v>33</v>
      </c>
      <c r="H518" s="55" t="s">
        <v>34</v>
      </c>
      <c r="I518" s="57" t="s">
        <v>35</v>
      </c>
      <c r="J518" s="57" t="s">
        <v>310</v>
      </c>
      <c r="K518" s="57" t="s">
        <v>311</v>
      </c>
      <c r="L518" s="55" t="s">
        <v>36</v>
      </c>
      <c r="M518" s="58" t="s">
        <v>37</v>
      </c>
      <c r="N518" s="58" t="s">
        <v>38</v>
      </c>
      <c r="O518" s="58" t="s">
        <v>39</v>
      </c>
      <c r="P518" s="59">
        <v>45532.4284722222</v>
      </c>
      <c r="Q518" s="60"/>
      <c r="R518" s="60" t="s">
        <v>31</v>
      </c>
      <c r="S518" s="61">
        <v>45527.40625</v>
      </c>
      <c r="T518" s="62"/>
      <c r="U518" s="63">
        <v>45620.427777777797</v>
      </c>
      <c r="V518" s="64">
        <v>-82</v>
      </c>
    </row>
    <row r="519" spans="1:22" ht="11.25" x14ac:dyDescent="0.2">
      <c r="A519" s="55">
        <v>307209</v>
      </c>
      <c r="B519" s="55" t="s">
        <v>1934</v>
      </c>
      <c r="C519" s="56" t="s">
        <v>1935</v>
      </c>
      <c r="D519" s="56" t="s">
        <v>1936</v>
      </c>
      <c r="E519" s="57" t="s">
        <v>1937</v>
      </c>
      <c r="F519" s="56" t="s">
        <v>1938</v>
      </c>
      <c r="G519" s="57" t="s">
        <v>33</v>
      </c>
      <c r="H519" s="55" t="s">
        <v>34</v>
      </c>
      <c r="I519" s="57" t="s">
        <v>35</v>
      </c>
      <c r="J519" s="57" t="s">
        <v>415</v>
      </c>
      <c r="K519" s="57" t="s">
        <v>416</v>
      </c>
      <c r="L519" s="55" t="s">
        <v>36</v>
      </c>
      <c r="M519" s="58" t="s">
        <v>37</v>
      </c>
      <c r="N519" s="58" t="s">
        <v>83</v>
      </c>
      <c r="O519" s="58" t="s">
        <v>84</v>
      </c>
      <c r="P519" s="59">
        <v>45530.438888888901</v>
      </c>
      <c r="Q519" s="60"/>
      <c r="R519" s="60" t="s">
        <v>31</v>
      </c>
      <c r="S519" s="61">
        <v>45527.3840277778</v>
      </c>
      <c r="T519" s="62"/>
      <c r="U519" s="63">
        <v>45620.4375</v>
      </c>
      <c r="V519" s="64">
        <v>-82</v>
      </c>
    </row>
    <row r="520" spans="1:22" ht="11.25" x14ac:dyDescent="0.2">
      <c r="A520" s="55">
        <v>307210</v>
      </c>
      <c r="B520" s="55" t="s">
        <v>1939</v>
      </c>
      <c r="C520" s="56" t="s">
        <v>1940</v>
      </c>
      <c r="D520" s="56" t="s">
        <v>1941</v>
      </c>
      <c r="E520" s="57" t="s">
        <v>1937</v>
      </c>
      <c r="F520" s="56" t="s">
        <v>1938</v>
      </c>
      <c r="G520" s="57" t="s">
        <v>33</v>
      </c>
      <c r="H520" s="55" t="s">
        <v>34</v>
      </c>
      <c r="I520" s="57" t="s">
        <v>35</v>
      </c>
      <c r="J520" s="57" t="s">
        <v>415</v>
      </c>
      <c r="K520" s="57" t="s">
        <v>416</v>
      </c>
      <c r="L520" s="55" t="s">
        <v>36</v>
      </c>
      <c r="M520" s="58" t="s">
        <v>37</v>
      </c>
      <c r="N520" s="58" t="s">
        <v>38</v>
      </c>
      <c r="O520" s="58" t="s">
        <v>39</v>
      </c>
      <c r="P520" s="59">
        <v>45531.443055555603</v>
      </c>
      <c r="Q520" s="60"/>
      <c r="R520" s="60" t="s">
        <v>31</v>
      </c>
      <c r="S520" s="61">
        <v>45527.384722222203</v>
      </c>
      <c r="T520" s="62"/>
      <c r="U520" s="63">
        <v>45620.441666666702</v>
      </c>
      <c r="V520" s="64">
        <v>-82</v>
      </c>
    </row>
    <row r="521" spans="1:22" ht="11.25" x14ac:dyDescent="0.2">
      <c r="A521" s="55">
        <v>307211</v>
      </c>
      <c r="B521" s="55" t="s">
        <v>1942</v>
      </c>
      <c r="C521" s="56" t="s">
        <v>1943</v>
      </c>
      <c r="D521" s="56" t="s">
        <v>1944</v>
      </c>
      <c r="E521" s="57" t="s">
        <v>1924</v>
      </c>
      <c r="F521" s="56" t="s">
        <v>1925</v>
      </c>
      <c r="G521" s="57" t="s">
        <v>33</v>
      </c>
      <c r="H521" s="55" t="s">
        <v>81</v>
      </c>
      <c r="I521" s="57" t="s">
        <v>82</v>
      </c>
      <c r="J521" s="57" t="s">
        <v>71</v>
      </c>
      <c r="K521" s="57" t="s">
        <v>72</v>
      </c>
      <c r="L521" s="55" t="s">
        <v>27</v>
      </c>
      <c r="M521" s="58" t="s">
        <v>28</v>
      </c>
      <c r="N521" s="58" t="s">
        <v>76</v>
      </c>
      <c r="O521" s="58" t="s">
        <v>77</v>
      </c>
      <c r="P521" s="59"/>
      <c r="Q521" s="60"/>
      <c r="R521" s="60" t="s">
        <v>31</v>
      </c>
      <c r="S521" s="61">
        <v>45524.4243055556</v>
      </c>
      <c r="T521" s="62"/>
      <c r="U521" s="63">
        <v>45620.622222222199</v>
      </c>
      <c r="V521" s="64">
        <v>-82</v>
      </c>
    </row>
    <row r="522" spans="1:22" ht="11.25" x14ac:dyDescent="0.2">
      <c r="A522" s="55">
        <v>307214</v>
      </c>
      <c r="B522" s="55" t="s">
        <v>1945</v>
      </c>
      <c r="C522" s="56" t="s">
        <v>1946</v>
      </c>
      <c r="D522" s="56" t="s">
        <v>1946</v>
      </c>
      <c r="E522" s="57" t="s">
        <v>63</v>
      </c>
      <c r="F522" s="56" t="s">
        <v>64</v>
      </c>
      <c r="G522" s="57" t="s">
        <v>33</v>
      </c>
      <c r="H522" s="55" t="s">
        <v>179</v>
      </c>
      <c r="I522" s="57" t="s">
        <v>180</v>
      </c>
      <c r="J522" s="57" t="s">
        <v>1806</v>
      </c>
      <c r="K522" s="57" t="s">
        <v>1807</v>
      </c>
      <c r="L522" s="55" t="s">
        <v>27</v>
      </c>
      <c r="M522" s="58" t="s">
        <v>28</v>
      </c>
      <c r="N522" s="58" t="s">
        <v>57</v>
      </c>
      <c r="O522" s="58" t="s">
        <v>58</v>
      </c>
      <c r="P522" s="59">
        <v>45532.620138888902</v>
      </c>
      <c r="Q522" s="60"/>
      <c r="R522" s="60" t="s">
        <v>31</v>
      </c>
      <c r="S522" s="61">
        <v>45530.618750000001</v>
      </c>
      <c r="T522" s="62"/>
      <c r="U522" s="63">
        <v>45621.615277777797</v>
      </c>
      <c r="V522" s="64">
        <v>-83</v>
      </c>
    </row>
    <row r="523" spans="1:22" ht="11.25" x14ac:dyDescent="0.2">
      <c r="A523" s="55">
        <v>307215</v>
      </c>
      <c r="B523" s="55" t="s">
        <v>1947</v>
      </c>
      <c r="C523" s="56" t="s">
        <v>1948</v>
      </c>
      <c r="D523" s="56" t="s">
        <v>1948</v>
      </c>
      <c r="E523" s="57" t="s">
        <v>86</v>
      </c>
      <c r="F523" s="56" t="s">
        <v>87</v>
      </c>
      <c r="G523" s="57" t="s">
        <v>23</v>
      </c>
      <c r="H523" s="55" t="s">
        <v>34</v>
      </c>
      <c r="I523" s="57" t="s">
        <v>35</v>
      </c>
      <c r="J523" s="57" t="s">
        <v>509</v>
      </c>
      <c r="K523" s="57" t="s">
        <v>510</v>
      </c>
      <c r="L523" s="55" t="s">
        <v>36</v>
      </c>
      <c r="M523" s="58" t="s">
        <v>37</v>
      </c>
      <c r="N523" s="58" t="s">
        <v>29</v>
      </c>
      <c r="O523" s="58" t="s">
        <v>30</v>
      </c>
      <c r="P523" s="59">
        <v>45538.399305555598</v>
      </c>
      <c r="Q523" s="60"/>
      <c r="R523" s="60" t="s">
        <v>31</v>
      </c>
      <c r="S523" s="61">
        <v>45531.332638888904</v>
      </c>
      <c r="T523" s="62" t="s">
        <v>85</v>
      </c>
      <c r="U523" s="63">
        <v>45621.630555555603</v>
      </c>
      <c r="V523" s="64">
        <v>-83</v>
      </c>
    </row>
    <row r="524" spans="1:22" ht="11.25" x14ac:dyDescent="0.2">
      <c r="A524" s="55">
        <v>307216</v>
      </c>
      <c r="B524" s="55" t="s">
        <v>1949</v>
      </c>
      <c r="C524" s="56" t="s">
        <v>1950</v>
      </c>
      <c r="D524" s="56" t="s">
        <v>1950</v>
      </c>
      <c r="E524" s="57" t="s">
        <v>42</v>
      </c>
      <c r="F524" s="56" t="s">
        <v>43</v>
      </c>
      <c r="G524" s="57" t="s">
        <v>23</v>
      </c>
      <c r="H524" s="55" t="s">
        <v>179</v>
      </c>
      <c r="I524" s="57" t="s">
        <v>180</v>
      </c>
      <c r="J524" s="57" t="s">
        <v>469</v>
      </c>
      <c r="K524" s="57" t="s">
        <v>470</v>
      </c>
      <c r="L524" s="55" t="s">
        <v>36</v>
      </c>
      <c r="M524" s="58" t="s">
        <v>37</v>
      </c>
      <c r="N524" s="58" t="s">
        <v>57</v>
      </c>
      <c r="O524" s="58" t="s">
        <v>58</v>
      </c>
      <c r="P524" s="59"/>
      <c r="Q524" s="60"/>
      <c r="R524" s="60" t="s">
        <v>31</v>
      </c>
      <c r="S524" s="61">
        <v>45527.4</v>
      </c>
      <c r="T524" s="62" t="s">
        <v>46</v>
      </c>
      <c r="U524" s="63">
        <v>45617.4</v>
      </c>
      <c r="V524" s="64">
        <v>-79</v>
      </c>
    </row>
    <row r="525" spans="1:22" ht="11.25" x14ac:dyDescent="0.2">
      <c r="A525" s="55">
        <v>307218</v>
      </c>
      <c r="B525" s="55" t="s">
        <v>1951</v>
      </c>
      <c r="C525" s="56" t="s">
        <v>1952</v>
      </c>
      <c r="D525" s="56" t="s">
        <v>1952</v>
      </c>
      <c r="E525" s="57" t="s">
        <v>141</v>
      </c>
      <c r="F525" s="56" t="s">
        <v>142</v>
      </c>
      <c r="G525" s="57" t="s">
        <v>23</v>
      </c>
      <c r="H525" s="55" t="s">
        <v>49</v>
      </c>
      <c r="I525" s="57" t="s">
        <v>50</v>
      </c>
      <c r="J525" s="57" t="s">
        <v>507</v>
      </c>
      <c r="K525" s="57" t="s">
        <v>508</v>
      </c>
      <c r="L525" s="55" t="s">
        <v>36</v>
      </c>
      <c r="M525" s="58" t="s">
        <v>37</v>
      </c>
      <c r="N525" s="58" t="s">
        <v>57</v>
      </c>
      <c r="O525" s="58" t="s">
        <v>58</v>
      </c>
      <c r="P525" s="59">
        <v>45537.701388888898</v>
      </c>
      <c r="Q525" s="60"/>
      <c r="R525" s="60" t="s">
        <v>31</v>
      </c>
      <c r="S525" s="61">
        <v>45530.412499999999</v>
      </c>
      <c r="T525" s="62" t="s">
        <v>85</v>
      </c>
      <c r="U525" s="63">
        <v>45621.630555555603</v>
      </c>
      <c r="V525" s="64">
        <v>-83</v>
      </c>
    </row>
    <row r="526" spans="1:22" ht="11.25" x14ac:dyDescent="0.2">
      <c r="A526" s="55">
        <v>307219</v>
      </c>
      <c r="B526" s="55" t="s">
        <v>1953</v>
      </c>
      <c r="C526" s="56" t="s">
        <v>1954</v>
      </c>
      <c r="D526" s="56" t="s">
        <v>1954</v>
      </c>
      <c r="E526" s="57" t="s">
        <v>42</v>
      </c>
      <c r="F526" s="56" t="s">
        <v>43</v>
      </c>
      <c r="G526" s="57" t="s">
        <v>23</v>
      </c>
      <c r="H526" s="55" t="s">
        <v>34</v>
      </c>
      <c r="I526" s="57" t="s">
        <v>35</v>
      </c>
      <c r="J526" s="57" t="s">
        <v>469</v>
      </c>
      <c r="K526" s="57" t="s">
        <v>470</v>
      </c>
      <c r="L526" s="55" t="s">
        <v>36</v>
      </c>
      <c r="M526" s="58" t="s">
        <v>37</v>
      </c>
      <c r="N526" s="58" t="s">
        <v>29</v>
      </c>
      <c r="O526" s="58" t="s">
        <v>30</v>
      </c>
      <c r="P526" s="59">
        <v>45532.645138888904</v>
      </c>
      <c r="Q526" s="60"/>
      <c r="R526" s="60" t="s">
        <v>31</v>
      </c>
      <c r="S526" s="61">
        <v>45527.5131944444</v>
      </c>
      <c r="T526" s="62" t="s">
        <v>46</v>
      </c>
      <c r="U526" s="63">
        <v>45621.630555555603</v>
      </c>
      <c r="V526" s="64">
        <v>-83</v>
      </c>
    </row>
    <row r="527" spans="1:22" ht="11.25" x14ac:dyDescent="0.2">
      <c r="A527" s="55">
        <v>307221</v>
      </c>
      <c r="B527" s="55" t="s">
        <v>1955</v>
      </c>
      <c r="C527" s="56" t="s">
        <v>1956</v>
      </c>
      <c r="D527" s="56" t="s">
        <v>1956</v>
      </c>
      <c r="E527" s="57" t="s">
        <v>673</v>
      </c>
      <c r="F527" s="56" t="s">
        <v>674</v>
      </c>
      <c r="G527" s="57" t="s">
        <v>23</v>
      </c>
      <c r="H527" s="55" t="s">
        <v>34</v>
      </c>
      <c r="I527" s="57" t="s">
        <v>35</v>
      </c>
      <c r="J527" s="57" t="s">
        <v>1723</v>
      </c>
      <c r="K527" s="57" t="s">
        <v>1724</v>
      </c>
      <c r="L527" s="55" t="s">
        <v>36</v>
      </c>
      <c r="M527" s="58" t="s">
        <v>37</v>
      </c>
      <c r="N527" s="58" t="s">
        <v>57</v>
      </c>
      <c r="O527" s="58" t="s">
        <v>58</v>
      </c>
      <c r="P527" s="59">
        <v>45533.621527777803</v>
      </c>
      <c r="Q527" s="60"/>
      <c r="R527" s="60" t="s">
        <v>31</v>
      </c>
      <c r="S527" s="61">
        <v>45530.320833333302</v>
      </c>
      <c r="T527" s="62" t="s">
        <v>85</v>
      </c>
      <c r="U527" s="63">
        <v>45621.630555555603</v>
      </c>
      <c r="V527" s="64">
        <v>-83</v>
      </c>
    </row>
    <row r="528" spans="1:22" ht="11.25" x14ac:dyDescent="0.2">
      <c r="A528" s="55">
        <v>307222</v>
      </c>
      <c r="B528" s="55" t="s">
        <v>1957</v>
      </c>
      <c r="C528" s="56" t="s">
        <v>1958</v>
      </c>
      <c r="D528" s="56" t="s">
        <v>1958</v>
      </c>
      <c r="E528" s="57" t="s">
        <v>419</v>
      </c>
      <c r="F528" s="56" t="s">
        <v>420</v>
      </c>
      <c r="G528" s="57" t="s">
        <v>23</v>
      </c>
      <c r="H528" s="55" t="s">
        <v>34</v>
      </c>
      <c r="I528" s="57" t="s">
        <v>35</v>
      </c>
      <c r="J528" s="57" t="s">
        <v>121</v>
      </c>
      <c r="K528" s="57" t="s">
        <v>122</v>
      </c>
      <c r="L528" s="55" t="s">
        <v>36</v>
      </c>
      <c r="M528" s="58" t="s">
        <v>37</v>
      </c>
      <c r="N528" s="58" t="s">
        <v>29</v>
      </c>
      <c r="O528" s="58" t="s">
        <v>30</v>
      </c>
      <c r="P528" s="59">
        <v>45537.374305555597</v>
      </c>
      <c r="Q528" s="60"/>
      <c r="R528" s="60" t="s">
        <v>31</v>
      </c>
      <c r="S528" s="61">
        <v>45524.572222222203</v>
      </c>
      <c r="T528" s="62" t="s">
        <v>1959</v>
      </c>
      <c r="U528" s="63">
        <v>45621.630555555603</v>
      </c>
      <c r="V528" s="64">
        <v>-83</v>
      </c>
    </row>
    <row r="529" spans="1:22" ht="11.25" x14ac:dyDescent="0.2">
      <c r="A529" s="55">
        <v>307223</v>
      </c>
      <c r="B529" s="55" t="s">
        <v>1960</v>
      </c>
      <c r="C529" s="56" t="s">
        <v>1961</v>
      </c>
      <c r="D529" s="56" t="s">
        <v>1962</v>
      </c>
      <c r="E529" s="57" t="s">
        <v>1963</v>
      </c>
      <c r="F529" s="56" t="s">
        <v>1964</v>
      </c>
      <c r="G529" s="57" t="s">
        <v>23</v>
      </c>
      <c r="H529" s="55" t="s">
        <v>34</v>
      </c>
      <c r="I529" s="57" t="s">
        <v>35</v>
      </c>
      <c r="J529" s="57" t="s">
        <v>121</v>
      </c>
      <c r="K529" s="57" t="s">
        <v>122</v>
      </c>
      <c r="L529" s="55" t="s">
        <v>36</v>
      </c>
      <c r="M529" s="58" t="s">
        <v>37</v>
      </c>
      <c r="N529" s="58" t="s">
        <v>29</v>
      </c>
      <c r="O529" s="58" t="s">
        <v>30</v>
      </c>
      <c r="P529" s="59">
        <v>45538.668749999997</v>
      </c>
      <c r="Q529" s="60"/>
      <c r="R529" s="60" t="s">
        <v>31</v>
      </c>
      <c r="S529" s="61">
        <v>45523.322222222203</v>
      </c>
      <c r="T529" s="62" t="s">
        <v>1965</v>
      </c>
      <c r="U529" s="63">
        <v>45621.630555555603</v>
      </c>
      <c r="V529" s="64">
        <v>-83</v>
      </c>
    </row>
    <row r="530" spans="1:22" ht="11.25" x14ac:dyDescent="0.2">
      <c r="A530" s="55">
        <v>307224</v>
      </c>
      <c r="B530" s="55" t="s">
        <v>1966</v>
      </c>
      <c r="C530" s="56" t="s">
        <v>1967</v>
      </c>
      <c r="D530" s="56" t="s">
        <v>1967</v>
      </c>
      <c r="E530" s="57" t="s">
        <v>1011</v>
      </c>
      <c r="F530" s="56" t="s">
        <v>1012</v>
      </c>
      <c r="G530" s="57" t="s">
        <v>23</v>
      </c>
      <c r="H530" s="55" t="s">
        <v>34</v>
      </c>
      <c r="I530" s="57" t="s">
        <v>35</v>
      </c>
      <c r="J530" s="57" t="s">
        <v>121</v>
      </c>
      <c r="K530" s="57" t="s">
        <v>122</v>
      </c>
      <c r="L530" s="55" t="s">
        <v>36</v>
      </c>
      <c r="M530" s="58" t="s">
        <v>37</v>
      </c>
      <c r="N530" s="58" t="s">
        <v>29</v>
      </c>
      <c r="O530" s="58" t="s">
        <v>30</v>
      </c>
      <c r="P530" s="59">
        <v>45537.431250000001</v>
      </c>
      <c r="Q530" s="60"/>
      <c r="R530" s="60" t="s">
        <v>31</v>
      </c>
      <c r="S530" s="61">
        <v>45523.3256944444</v>
      </c>
      <c r="T530" s="62" t="s">
        <v>80</v>
      </c>
      <c r="U530" s="63">
        <v>45621.630555555603</v>
      </c>
      <c r="V530" s="64">
        <v>-83</v>
      </c>
    </row>
    <row r="531" spans="1:22" ht="11.25" x14ac:dyDescent="0.2">
      <c r="A531" s="55">
        <v>307225</v>
      </c>
      <c r="B531" s="55" t="s">
        <v>1968</v>
      </c>
      <c r="C531" s="56" t="s">
        <v>1969</v>
      </c>
      <c r="D531" s="56" t="s">
        <v>1969</v>
      </c>
      <c r="E531" s="57" t="s">
        <v>1011</v>
      </c>
      <c r="F531" s="56" t="s">
        <v>1012</v>
      </c>
      <c r="G531" s="57" t="s">
        <v>23</v>
      </c>
      <c r="H531" s="55" t="s">
        <v>179</v>
      </c>
      <c r="I531" s="57" t="s">
        <v>180</v>
      </c>
      <c r="J531" s="57" t="s">
        <v>121</v>
      </c>
      <c r="K531" s="57" t="s">
        <v>122</v>
      </c>
      <c r="L531" s="55" t="s">
        <v>36</v>
      </c>
      <c r="M531" s="58" t="s">
        <v>37</v>
      </c>
      <c r="N531" s="58" t="s">
        <v>29</v>
      </c>
      <c r="O531" s="58" t="s">
        <v>30</v>
      </c>
      <c r="P531" s="59"/>
      <c r="Q531" s="60"/>
      <c r="R531" s="60" t="s">
        <v>31</v>
      </c>
      <c r="S531" s="61">
        <v>45523.326388888898</v>
      </c>
      <c r="T531" s="62" t="s">
        <v>80</v>
      </c>
      <c r="U531" s="63">
        <v>45613.326388888898</v>
      </c>
      <c r="V531" s="64">
        <v>-75</v>
      </c>
    </row>
    <row r="532" spans="1:22" ht="11.25" x14ac:dyDescent="0.2">
      <c r="A532" s="55">
        <v>307227</v>
      </c>
      <c r="B532" s="55" t="s">
        <v>1970</v>
      </c>
      <c r="C532" s="56" t="s">
        <v>1971</v>
      </c>
      <c r="D532" s="56" t="s">
        <v>1971</v>
      </c>
      <c r="E532" s="57" t="s">
        <v>1328</v>
      </c>
      <c r="F532" s="56" t="s">
        <v>1329</v>
      </c>
      <c r="G532" s="57" t="s">
        <v>33</v>
      </c>
      <c r="H532" s="55" t="s">
        <v>179</v>
      </c>
      <c r="I532" s="57" t="s">
        <v>180</v>
      </c>
      <c r="J532" s="57" t="s">
        <v>1972</v>
      </c>
      <c r="K532" s="57" t="s">
        <v>1973</v>
      </c>
      <c r="L532" s="55" t="s">
        <v>36</v>
      </c>
      <c r="M532" s="58" t="s">
        <v>37</v>
      </c>
      <c r="N532" s="58" t="s">
        <v>83</v>
      </c>
      <c r="O532" s="58" t="s">
        <v>84</v>
      </c>
      <c r="P532" s="59"/>
      <c r="Q532" s="60"/>
      <c r="R532" s="60" t="s">
        <v>31</v>
      </c>
      <c r="S532" s="61">
        <v>45531.440972222197</v>
      </c>
      <c r="T532" s="62" t="s">
        <v>1330</v>
      </c>
      <c r="U532" s="63">
        <v>45621.440972222197</v>
      </c>
      <c r="V532" s="64">
        <v>-83</v>
      </c>
    </row>
    <row r="533" spans="1:22" ht="11.25" x14ac:dyDescent="0.2">
      <c r="A533" s="55">
        <v>307228</v>
      </c>
      <c r="B533" s="55" t="s">
        <v>1974</v>
      </c>
      <c r="C533" s="56" t="s">
        <v>1975</v>
      </c>
      <c r="D533" s="56" t="s">
        <v>1975</v>
      </c>
      <c r="E533" s="57" t="s">
        <v>1976</v>
      </c>
      <c r="F533" s="56" t="s">
        <v>1977</v>
      </c>
      <c r="G533" s="57" t="s">
        <v>33</v>
      </c>
      <c r="H533" s="55" t="s">
        <v>179</v>
      </c>
      <c r="I533" s="57" t="s">
        <v>180</v>
      </c>
      <c r="J533" s="57" t="s">
        <v>1627</v>
      </c>
      <c r="K533" s="57" t="s">
        <v>1628</v>
      </c>
      <c r="L533" s="55" t="s">
        <v>36</v>
      </c>
      <c r="M533" s="58" t="s">
        <v>37</v>
      </c>
      <c r="N533" s="58" t="s">
        <v>57</v>
      </c>
      <c r="O533" s="58" t="s">
        <v>58</v>
      </c>
      <c r="P533" s="59"/>
      <c r="Q533" s="60"/>
      <c r="R533" s="60" t="s">
        <v>31</v>
      </c>
      <c r="S533" s="61">
        <v>45530.494444444397</v>
      </c>
      <c r="T533" s="62" t="s">
        <v>132</v>
      </c>
      <c r="U533" s="63">
        <v>45620.494444444397</v>
      </c>
      <c r="V533" s="64">
        <v>-82</v>
      </c>
    </row>
    <row r="534" spans="1:22" ht="11.25" x14ac:dyDescent="0.2">
      <c r="A534" s="55">
        <v>307229</v>
      </c>
      <c r="B534" s="55" t="s">
        <v>1978</v>
      </c>
      <c r="C534" s="56" t="s">
        <v>1979</v>
      </c>
      <c r="D534" s="56" t="s">
        <v>1979</v>
      </c>
      <c r="E534" s="57" t="s">
        <v>1980</v>
      </c>
      <c r="F534" s="56" t="s">
        <v>1981</v>
      </c>
      <c r="G534" s="57" t="s">
        <v>33</v>
      </c>
      <c r="H534" s="55" t="s">
        <v>179</v>
      </c>
      <c r="I534" s="57" t="s">
        <v>180</v>
      </c>
      <c r="J534" s="57" t="s">
        <v>1982</v>
      </c>
      <c r="K534" s="57" t="s">
        <v>1983</v>
      </c>
      <c r="L534" s="55" t="s">
        <v>36</v>
      </c>
      <c r="M534" s="58" t="s">
        <v>37</v>
      </c>
      <c r="N534" s="58" t="s">
        <v>57</v>
      </c>
      <c r="O534" s="58" t="s">
        <v>58</v>
      </c>
      <c r="P534" s="59"/>
      <c r="Q534" s="60"/>
      <c r="R534" s="60" t="s">
        <v>31</v>
      </c>
      <c r="S534" s="61">
        <v>45531.537499999999</v>
      </c>
      <c r="T534" s="62" t="s">
        <v>1204</v>
      </c>
      <c r="U534" s="63">
        <v>45621.537499999999</v>
      </c>
      <c r="V534" s="64">
        <v>-83</v>
      </c>
    </row>
    <row r="535" spans="1:22" ht="11.25" x14ac:dyDescent="0.2">
      <c r="A535" s="55">
        <v>307230</v>
      </c>
      <c r="B535" s="55" t="s">
        <v>1984</v>
      </c>
      <c r="C535" s="56" t="s">
        <v>1985</v>
      </c>
      <c r="D535" s="56" t="s">
        <v>1986</v>
      </c>
      <c r="E535" s="57" t="s">
        <v>209</v>
      </c>
      <c r="F535" s="56" t="s">
        <v>210</v>
      </c>
      <c r="G535" s="57" t="s">
        <v>33</v>
      </c>
      <c r="H535" s="55" t="s">
        <v>179</v>
      </c>
      <c r="I535" s="57" t="s">
        <v>180</v>
      </c>
      <c r="J535" s="57" t="s">
        <v>1987</v>
      </c>
      <c r="K535" s="57" t="s">
        <v>1987</v>
      </c>
      <c r="L535" s="55" t="s">
        <v>36</v>
      </c>
      <c r="M535" s="58" t="s">
        <v>37</v>
      </c>
      <c r="N535" s="58" t="s">
        <v>57</v>
      </c>
      <c r="O535" s="58" t="s">
        <v>58</v>
      </c>
      <c r="P535" s="59"/>
      <c r="Q535" s="60"/>
      <c r="R535" s="60" t="s">
        <v>31</v>
      </c>
      <c r="S535" s="61">
        <v>45530.554166666698</v>
      </c>
      <c r="T535" s="62" t="s">
        <v>211</v>
      </c>
      <c r="U535" s="63">
        <v>45621.630555555603</v>
      </c>
      <c r="V535" s="64">
        <v>-83</v>
      </c>
    </row>
    <row r="536" spans="1:22" ht="11.25" x14ac:dyDescent="0.2">
      <c r="A536" s="55">
        <v>307233</v>
      </c>
      <c r="B536" s="55" t="s">
        <v>1988</v>
      </c>
      <c r="C536" s="56" t="s">
        <v>1989</v>
      </c>
      <c r="D536" s="56" t="s">
        <v>1989</v>
      </c>
      <c r="E536" s="57" t="s">
        <v>574</v>
      </c>
      <c r="F536" s="56" t="s">
        <v>575</v>
      </c>
      <c r="G536" s="57" t="s">
        <v>222</v>
      </c>
      <c r="H536" s="55" t="s">
        <v>34</v>
      </c>
      <c r="I536" s="57" t="s">
        <v>35</v>
      </c>
      <c r="J536" s="57" t="s">
        <v>576</v>
      </c>
      <c r="K536" s="57" t="s">
        <v>577</v>
      </c>
      <c r="L536" s="55" t="s">
        <v>237</v>
      </c>
      <c r="M536" s="58" t="s">
        <v>238</v>
      </c>
      <c r="N536" s="58" t="s">
        <v>83</v>
      </c>
      <c r="O536" s="58" t="s">
        <v>84</v>
      </c>
      <c r="P536" s="59">
        <v>45533.668749999997</v>
      </c>
      <c r="Q536" s="60"/>
      <c r="R536" s="60" t="s">
        <v>31</v>
      </c>
      <c r="S536" s="61">
        <v>45531.668055555601</v>
      </c>
      <c r="T536" s="62"/>
      <c r="U536" s="63">
        <v>45622.667361111096</v>
      </c>
      <c r="V536" s="64">
        <v>-84</v>
      </c>
    </row>
    <row r="537" spans="1:22" ht="11.25" x14ac:dyDescent="0.2">
      <c r="A537" s="55">
        <v>307234</v>
      </c>
      <c r="B537" s="55" t="s">
        <v>1990</v>
      </c>
      <c r="C537" s="56" t="s">
        <v>1991</v>
      </c>
      <c r="D537" s="56" t="s">
        <v>1992</v>
      </c>
      <c r="E537" s="57" t="s">
        <v>1993</v>
      </c>
      <c r="F537" s="56" t="s">
        <v>1994</v>
      </c>
      <c r="G537" s="57" t="s">
        <v>33</v>
      </c>
      <c r="H537" s="55" t="s">
        <v>53</v>
      </c>
      <c r="I537" s="57" t="s">
        <v>54</v>
      </c>
      <c r="J537" s="57" t="s">
        <v>1640</v>
      </c>
      <c r="K537" s="57" t="s">
        <v>1641</v>
      </c>
      <c r="L537" s="55" t="s">
        <v>27</v>
      </c>
      <c r="M537" s="58" t="s">
        <v>28</v>
      </c>
      <c r="N537" s="58" t="s">
        <v>83</v>
      </c>
      <c r="O537" s="58" t="s">
        <v>84</v>
      </c>
      <c r="P537" s="59">
        <v>45506.420138888898</v>
      </c>
      <c r="Q537" s="60"/>
      <c r="R537" s="60" t="s">
        <v>31</v>
      </c>
      <c r="S537" s="61">
        <v>45533.416666666701</v>
      </c>
      <c r="T537" s="62"/>
      <c r="U537" s="63">
        <v>45623.418055555601</v>
      </c>
      <c r="V537" s="64">
        <v>-85</v>
      </c>
    </row>
    <row r="538" spans="1:22" ht="11.25" x14ac:dyDescent="0.2">
      <c r="A538" s="55">
        <v>307236</v>
      </c>
      <c r="B538" s="55" t="s">
        <v>1995</v>
      </c>
      <c r="C538" s="56" t="s">
        <v>1996</v>
      </c>
      <c r="D538" s="56" t="s">
        <v>1996</v>
      </c>
      <c r="E538" s="57" t="s">
        <v>191</v>
      </c>
      <c r="F538" s="56" t="s">
        <v>192</v>
      </c>
      <c r="G538" s="57" t="s">
        <v>23</v>
      </c>
      <c r="H538" s="55" t="s">
        <v>179</v>
      </c>
      <c r="I538" s="57" t="s">
        <v>180</v>
      </c>
      <c r="J538" s="57" t="s">
        <v>121</v>
      </c>
      <c r="K538" s="57" t="s">
        <v>122</v>
      </c>
      <c r="L538" s="55" t="s">
        <v>36</v>
      </c>
      <c r="M538" s="58" t="s">
        <v>37</v>
      </c>
      <c r="N538" s="58" t="s">
        <v>29</v>
      </c>
      <c r="O538" s="58" t="s">
        <v>30</v>
      </c>
      <c r="P538" s="59"/>
      <c r="Q538" s="60"/>
      <c r="R538" s="60" t="s">
        <v>31</v>
      </c>
      <c r="S538" s="61">
        <v>45533.305555555598</v>
      </c>
      <c r="T538" s="62" t="s">
        <v>193</v>
      </c>
      <c r="U538" s="63">
        <v>45623.305555555598</v>
      </c>
      <c r="V538" s="64">
        <v>-85</v>
      </c>
    </row>
    <row r="539" spans="1:22" ht="11.25" x14ac:dyDescent="0.2">
      <c r="A539" s="55">
        <v>307237</v>
      </c>
      <c r="B539" s="55" t="s">
        <v>1997</v>
      </c>
      <c r="C539" s="56" t="s">
        <v>1998</v>
      </c>
      <c r="D539" s="56" t="s">
        <v>1998</v>
      </c>
      <c r="E539" s="57" t="s">
        <v>92</v>
      </c>
      <c r="F539" s="56" t="s">
        <v>93</v>
      </c>
      <c r="G539" s="57" t="s">
        <v>23</v>
      </c>
      <c r="H539" s="55" t="s">
        <v>179</v>
      </c>
      <c r="I539" s="57" t="s">
        <v>180</v>
      </c>
      <c r="J539" s="57" t="s">
        <v>507</v>
      </c>
      <c r="K539" s="57" t="s">
        <v>508</v>
      </c>
      <c r="L539" s="55" t="s">
        <v>36</v>
      </c>
      <c r="M539" s="58" t="s">
        <v>37</v>
      </c>
      <c r="N539" s="58" t="s">
        <v>51</v>
      </c>
      <c r="O539" s="58" t="s">
        <v>52</v>
      </c>
      <c r="P539" s="59"/>
      <c r="Q539" s="60"/>
      <c r="R539" s="60" t="s">
        <v>31</v>
      </c>
      <c r="S539" s="61">
        <v>45532.306250000001</v>
      </c>
      <c r="T539" s="62" t="s">
        <v>96</v>
      </c>
      <c r="U539" s="63">
        <v>45622.306250000001</v>
      </c>
      <c r="V539" s="64">
        <v>-84</v>
      </c>
    </row>
    <row r="540" spans="1:22" ht="11.25" x14ac:dyDescent="0.2">
      <c r="A540" s="55">
        <v>307238</v>
      </c>
      <c r="B540" s="55" t="s">
        <v>1999</v>
      </c>
      <c r="C540" s="56" t="s">
        <v>2000</v>
      </c>
      <c r="D540" s="56" t="s">
        <v>2000</v>
      </c>
      <c r="E540" s="57" t="s">
        <v>92</v>
      </c>
      <c r="F540" s="56" t="s">
        <v>93</v>
      </c>
      <c r="G540" s="57" t="s">
        <v>23</v>
      </c>
      <c r="H540" s="55" t="s">
        <v>49</v>
      </c>
      <c r="I540" s="57" t="s">
        <v>50</v>
      </c>
      <c r="J540" s="57" t="s">
        <v>507</v>
      </c>
      <c r="K540" s="57" t="s">
        <v>508</v>
      </c>
      <c r="L540" s="55" t="s">
        <v>36</v>
      </c>
      <c r="M540" s="58" t="s">
        <v>37</v>
      </c>
      <c r="N540" s="58" t="s">
        <v>29</v>
      </c>
      <c r="O540" s="58" t="s">
        <v>30</v>
      </c>
      <c r="P540" s="59">
        <v>45535.426388888904</v>
      </c>
      <c r="Q540" s="60"/>
      <c r="R540" s="60" t="s">
        <v>31</v>
      </c>
      <c r="S540" s="61">
        <v>45532.343055555597</v>
      </c>
      <c r="T540" s="62" t="s">
        <v>96</v>
      </c>
      <c r="U540" s="63">
        <v>45623.590277777803</v>
      </c>
      <c r="V540" s="64">
        <v>-85</v>
      </c>
    </row>
    <row r="541" spans="1:22" ht="11.25" x14ac:dyDescent="0.2">
      <c r="A541" s="55">
        <v>307239</v>
      </c>
      <c r="B541" s="55" t="s">
        <v>2001</v>
      </c>
      <c r="C541" s="56" t="s">
        <v>2002</v>
      </c>
      <c r="D541" s="56" t="s">
        <v>2002</v>
      </c>
      <c r="E541" s="57" t="s">
        <v>1435</v>
      </c>
      <c r="F541" s="56" t="s">
        <v>1436</v>
      </c>
      <c r="G541" s="57" t="s">
        <v>23</v>
      </c>
      <c r="H541" s="55" t="s">
        <v>49</v>
      </c>
      <c r="I541" s="57" t="s">
        <v>50</v>
      </c>
      <c r="J541" s="57" t="s">
        <v>507</v>
      </c>
      <c r="K541" s="57" t="s">
        <v>508</v>
      </c>
      <c r="L541" s="55" t="s">
        <v>36</v>
      </c>
      <c r="M541" s="58" t="s">
        <v>37</v>
      </c>
      <c r="N541" s="58" t="s">
        <v>29</v>
      </c>
      <c r="O541" s="58" t="s">
        <v>30</v>
      </c>
      <c r="P541" s="59">
        <v>45537.397916666698</v>
      </c>
      <c r="Q541" s="60"/>
      <c r="R541" s="60" t="s">
        <v>31</v>
      </c>
      <c r="S541" s="61">
        <v>45532.588888888902</v>
      </c>
      <c r="T541" s="62" t="s">
        <v>1274</v>
      </c>
      <c r="U541" s="63">
        <v>45623.590277777803</v>
      </c>
      <c r="V541" s="64">
        <v>-85</v>
      </c>
    </row>
    <row r="542" spans="1:22" ht="11.25" x14ac:dyDescent="0.2">
      <c r="A542" s="55">
        <v>307240</v>
      </c>
      <c r="B542" s="55" t="s">
        <v>2003</v>
      </c>
      <c r="C542" s="56" t="s">
        <v>2004</v>
      </c>
      <c r="D542" s="56" t="s">
        <v>2004</v>
      </c>
      <c r="E542" s="57" t="s">
        <v>105</v>
      </c>
      <c r="F542" s="56" t="s">
        <v>106</v>
      </c>
      <c r="G542" s="57" t="s">
        <v>23</v>
      </c>
      <c r="H542" s="55" t="s">
        <v>179</v>
      </c>
      <c r="I542" s="57" t="s">
        <v>180</v>
      </c>
      <c r="J542" s="57" t="s">
        <v>107</v>
      </c>
      <c r="K542" s="57" t="s">
        <v>108</v>
      </c>
      <c r="L542" s="55" t="s">
        <v>36</v>
      </c>
      <c r="M542" s="58" t="s">
        <v>37</v>
      </c>
      <c r="N542" s="58" t="s">
        <v>29</v>
      </c>
      <c r="O542" s="58" t="s">
        <v>30</v>
      </c>
      <c r="P542" s="59"/>
      <c r="Q542" s="60"/>
      <c r="R542" s="60" t="s">
        <v>31</v>
      </c>
      <c r="S542" s="61">
        <v>45533.283333333296</v>
      </c>
      <c r="T542" s="62" t="s">
        <v>109</v>
      </c>
      <c r="U542" s="63">
        <v>45623.283333333296</v>
      </c>
      <c r="V542" s="64">
        <v>-85</v>
      </c>
    </row>
    <row r="543" spans="1:22" ht="11.25" x14ac:dyDescent="0.2">
      <c r="A543" s="55">
        <v>307241</v>
      </c>
      <c r="B543" s="55" t="s">
        <v>2005</v>
      </c>
      <c r="C543" s="56" t="s">
        <v>2006</v>
      </c>
      <c r="D543" s="56" t="s">
        <v>2006</v>
      </c>
      <c r="E543" s="57" t="s">
        <v>92</v>
      </c>
      <c r="F543" s="56" t="s">
        <v>93</v>
      </c>
      <c r="G543" s="57" t="s">
        <v>23</v>
      </c>
      <c r="H543" s="55" t="s">
        <v>34</v>
      </c>
      <c r="I543" s="57" t="s">
        <v>35</v>
      </c>
      <c r="J543" s="57" t="s">
        <v>507</v>
      </c>
      <c r="K543" s="57" t="s">
        <v>508</v>
      </c>
      <c r="L543" s="55" t="s">
        <v>36</v>
      </c>
      <c r="M543" s="58" t="s">
        <v>37</v>
      </c>
      <c r="N543" s="58" t="s">
        <v>29</v>
      </c>
      <c r="O543" s="58" t="s">
        <v>30</v>
      </c>
      <c r="P543" s="59">
        <v>45534.661111111098</v>
      </c>
      <c r="Q543" s="60"/>
      <c r="R543" s="60" t="s">
        <v>31</v>
      </c>
      <c r="S543" s="61">
        <v>45532.300694444399</v>
      </c>
      <c r="T543" s="62" t="s">
        <v>96</v>
      </c>
      <c r="U543" s="63">
        <v>45622.300694444399</v>
      </c>
      <c r="V543" s="64">
        <v>-84</v>
      </c>
    </row>
    <row r="544" spans="1:22" ht="11.25" x14ac:dyDescent="0.2">
      <c r="A544" s="55">
        <v>307242</v>
      </c>
      <c r="B544" s="55" t="s">
        <v>2007</v>
      </c>
      <c r="C544" s="56" t="s">
        <v>2008</v>
      </c>
      <c r="D544" s="56" t="s">
        <v>2008</v>
      </c>
      <c r="E544" s="57" t="s">
        <v>187</v>
      </c>
      <c r="F544" s="56" t="s">
        <v>188</v>
      </c>
      <c r="G544" s="57" t="s">
        <v>23</v>
      </c>
      <c r="H544" s="55" t="s">
        <v>179</v>
      </c>
      <c r="I544" s="57" t="s">
        <v>180</v>
      </c>
      <c r="J544" s="57" t="s">
        <v>189</v>
      </c>
      <c r="K544" s="57" t="s">
        <v>190</v>
      </c>
      <c r="L544" s="55" t="s">
        <v>36</v>
      </c>
      <c r="M544" s="58" t="s">
        <v>37</v>
      </c>
      <c r="N544" s="58" t="s">
        <v>29</v>
      </c>
      <c r="O544" s="58" t="s">
        <v>30</v>
      </c>
      <c r="P544" s="59"/>
      <c r="Q544" s="60"/>
      <c r="R544" s="60" t="s">
        <v>31</v>
      </c>
      <c r="S544" s="61">
        <v>45532.345833333296</v>
      </c>
      <c r="T544" s="62" t="s">
        <v>99</v>
      </c>
      <c r="U544" s="63">
        <v>45622.345833333296</v>
      </c>
      <c r="V544" s="64">
        <v>-84</v>
      </c>
    </row>
    <row r="545" spans="1:22" ht="11.25" x14ac:dyDescent="0.2">
      <c r="A545" s="55">
        <v>307243</v>
      </c>
      <c r="B545" s="55" t="s">
        <v>2009</v>
      </c>
      <c r="C545" s="56" t="s">
        <v>2010</v>
      </c>
      <c r="D545" s="56" t="s">
        <v>2010</v>
      </c>
      <c r="E545" s="57" t="s">
        <v>92</v>
      </c>
      <c r="F545" s="56" t="s">
        <v>93</v>
      </c>
      <c r="G545" s="57" t="s">
        <v>23</v>
      </c>
      <c r="H545" s="55" t="s">
        <v>34</v>
      </c>
      <c r="I545" s="57" t="s">
        <v>35</v>
      </c>
      <c r="J545" s="57" t="s">
        <v>507</v>
      </c>
      <c r="K545" s="57" t="s">
        <v>508</v>
      </c>
      <c r="L545" s="55" t="s">
        <v>36</v>
      </c>
      <c r="M545" s="58" t="s">
        <v>37</v>
      </c>
      <c r="N545" s="58" t="s">
        <v>83</v>
      </c>
      <c r="O545" s="58" t="s">
        <v>84</v>
      </c>
      <c r="P545" s="59">
        <v>45537.577083333301</v>
      </c>
      <c r="Q545" s="60"/>
      <c r="R545" s="60" t="s">
        <v>31</v>
      </c>
      <c r="S545" s="61">
        <v>45532.2993055556</v>
      </c>
      <c r="T545" s="62" t="s">
        <v>96</v>
      </c>
      <c r="U545" s="63">
        <v>45623.590972222199</v>
      </c>
      <c r="V545" s="64">
        <v>-85</v>
      </c>
    </row>
    <row r="546" spans="1:22" ht="11.25" x14ac:dyDescent="0.2">
      <c r="A546" s="55">
        <v>307244</v>
      </c>
      <c r="B546" s="55" t="s">
        <v>2011</v>
      </c>
      <c r="C546" s="56" t="s">
        <v>2012</v>
      </c>
      <c r="D546" s="56" t="s">
        <v>2012</v>
      </c>
      <c r="E546" s="57" t="s">
        <v>92</v>
      </c>
      <c r="F546" s="56" t="s">
        <v>93</v>
      </c>
      <c r="G546" s="57" t="s">
        <v>23</v>
      </c>
      <c r="H546" s="55" t="s">
        <v>34</v>
      </c>
      <c r="I546" s="57" t="s">
        <v>35</v>
      </c>
      <c r="J546" s="57" t="s">
        <v>507</v>
      </c>
      <c r="K546" s="57" t="s">
        <v>508</v>
      </c>
      <c r="L546" s="55" t="s">
        <v>36</v>
      </c>
      <c r="M546" s="58" t="s">
        <v>37</v>
      </c>
      <c r="N546" s="58" t="s">
        <v>83</v>
      </c>
      <c r="O546" s="58" t="s">
        <v>84</v>
      </c>
      <c r="P546" s="59">
        <v>45538.577083333301</v>
      </c>
      <c r="Q546" s="60"/>
      <c r="R546" s="60" t="s">
        <v>31</v>
      </c>
      <c r="S546" s="61">
        <v>45532.310416666704</v>
      </c>
      <c r="T546" s="62" t="s">
        <v>96</v>
      </c>
      <c r="U546" s="63">
        <v>45623.590972222199</v>
      </c>
      <c r="V546" s="64">
        <v>-85</v>
      </c>
    </row>
    <row r="547" spans="1:22" ht="11.25" x14ac:dyDescent="0.2">
      <c r="A547" s="55">
        <v>307245</v>
      </c>
      <c r="B547" s="55" t="s">
        <v>2013</v>
      </c>
      <c r="C547" s="56" t="s">
        <v>2014</v>
      </c>
      <c r="D547" s="56" t="s">
        <v>2014</v>
      </c>
      <c r="E547" s="57" t="s">
        <v>2015</v>
      </c>
      <c r="F547" s="56" t="s">
        <v>2016</v>
      </c>
      <c r="G547" s="57" t="s">
        <v>23</v>
      </c>
      <c r="H547" s="55" t="s">
        <v>179</v>
      </c>
      <c r="I547" s="57" t="s">
        <v>180</v>
      </c>
      <c r="J547" s="57" t="s">
        <v>327</v>
      </c>
      <c r="K547" s="57" t="s">
        <v>328</v>
      </c>
      <c r="L547" s="55" t="s">
        <v>36</v>
      </c>
      <c r="M547" s="58" t="s">
        <v>37</v>
      </c>
      <c r="N547" s="58" t="s">
        <v>83</v>
      </c>
      <c r="O547" s="58" t="s">
        <v>84</v>
      </c>
      <c r="P547" s="59"/>
      <c r="Q547" s="60"/>
      <c r="R547" s="60" t="s">
        <v>31</v>
      </c>
      <c r="S547" s="61">
        <v>45531.625694444403</v>
      </c>
      <c r="T547" s="62" t="s">
        <v>2017</v>
      </c>
      <c r="U547" s="63">
        <v>45621.625694444403</v>
      </c>
      <c r="V547" s="64">
        <v>-83</v>
      </c>
    </row>
    <row r="548" spans="1:22" ht="11.25" x14ac:dyDescent="0.2">
      <c r="A548" s="55">
        <v>307247</v>
      </c>
      <c r="B548" s="55" t="s">
        <v>2018</v>
      </c>
      <c r="C548" s="56" t="s">
        <v>2019</v>
      </c>
      <c r="D548" s="56" t="s">
        <v>2019</v>
      </c>
      <c r="E548" s="57" t="s">
        <v>1435</v>
      </c>
      <c r="F548" s="56" t="s">
        <v>1436</v>
      </c>
      <c r="G548" s="57" t="s">
        <v>23</v>
      </c>
      <c r="H548" s="55" t="s">
        <v>179</v>
      </c>
      <c r="I548" s="57" t="s">
        <v>180</v>
      </c>
      <c r="J548" s="57" t="s">
        <v>507</v>
      </c>
      <c r="K548" s="57" t="s">
        <v>508</v>
      </c>
      <c r="L548" s="55" t="s">
        <v>36</v>
      </c>
      <c r="M548" s="58" t="s">
        <v>37</v>
      </c>
      <c r="N548" s="58" t="s">
        <v>57</v>
      </c>
      <c r="O548" s="58" t="s">
        <v>58</v>
      </c>
      <c r="P548" s="59"/>
      <c r="Q548" s="60"/>
      <c r="R548" s="60" t="s">
        <v>31</v>
      </c>
      <c r="S548" s="61">
        <v>45532.579861111102</v>
      </c>
      <c r="T548" s="62" t="s">
        <v>1274</v>
      </c>
      <c r="U548" s="63">
        <v>45622.579861111102</v>
      </c>
      <c r="V548" s="64">
        <v>-84</v>
      </c>
    </row>
    <row r="549" spans="1:22" ht="11.25" x14ac:dyDescent="0.2">
      <c r="A549" s="55">
        <v>307248</v>
      </c>
      <c r="B549" s="55" t="s">
        <v>2020</v>
      </c>
      <c r="C549" s="56" t="s">
        <v>2021</v>
      </c>
      <c r="D549" s="56" t="s">
        <v>2021</v>
      </c>
      <c r="E549" s="57" t="s">
        <v>673</v>
      </c>
      <c r="F549" s="56" t="s">
        <v>674</v>
      </c>
      <c r="G549" s="57" t="s">
        <v>23</v>
      </c>
      <c r="H549" s="55" t="s">
        <v>179</v>
      </c>
      <c r="I549" s="57" t="s">
        <v>180</v>
      </c>
      <c r="J549" s="57" t="s">
        <v>1723</v>
      </c>
      <c r="K549" s="57" t="s">
        <v>1724</v>
      </c>
      <c r="L549" s="55" t="s">
        <v>36</v>
      </c>
      <c r="M549" s="58" t="s">
        <v>37</v>
      </c>
      <c r="N549" s="58" t="s">
        <v>57</v>
      </c>
      <c r="O549" s="58" t="s">
        <v>58</v>
      </c>
      <c r="P549" s="59"/>
      <c r="Q549" s="60"/>
      <c r="R549" s="60" t="s">
        <v>31</v>
      </c>
      <c r="S549" s="61">
        <v>45533.291666666701</v>
      </c>
      <c r="T549" s="62" t="s">
        <v>85</v>
      </c>
      <c r="U549" s="63">
        <v>45623.291666666701</v>
      </c>
      <c r="V549" s="64">
        <v>-85</v>
      </c>
    </row>
    <row r="550" spans="1:22" ht="11.25" x14ac:dyDescent="0.2">
      <c r="A550" s="55">
        <v>307249</v>
      </c>
      <c r="B550" s="55" t="s">
        <v>2022</v>
      </c>
      <c r="C550" s="56" t="s">
        <v>2023</v>
      </c>
      <c r="D550" s="56" t="s">
        <v>2023</v>
      </c>
      <c r="E550" s="57" t="s">
        <v>228</v>
      </c>
      <c r="F550" s="56" t="s">
        <v>229</v>
      </c>
      <c r="G550" s="57" t="s">
        <v>23</v>
      </c>
      <c r="H550" s="55" t="s">
        <v>34</v>
      </c>
      <c r="I550" s="57" t="s">
        <v>35</v>
      </c>
      <c r="J550" s="57" t="s">
        <v>128</v>
      </c>
      <c r="K550" s="57" t="s">
        <v>129</v>
      </c>
      <c r="L550" s="55" t="s">
        <v>36</v>
      </c>
      <c r="M550" s="58" t="s">
        <v>37</v>
      </c>
      <c r="N550" s="58" t="s">
        <v>57</v>
      </c>
      <c r="O550" s="58" t="s">
        <v>58</v>
      </c>
      <c r="P550" s="59">
        <v>45534.6965277778</v>
      </c>
      <c r="Q550" s="60"/>
      <c r="R550" s="60" t="s">
        <v>40</v>
      </c>
      <c r="S550" s="61">
        <v>45531.714583333298</v>
      </c>
      <c r="T550" s="62" t="s">
        <v>116</v>
      </c>
      <c r="U550" s="63">
        <v>45561.714583333298</v>
      </c>
      <c r="V550" s="64">
        <v>-23</v>
      </c>
    </row>
    <row r="551" spans="1:22" ht="11.25" x14ac:dyDescent="0.2">
      <c r="A551" s="55">
        <v>307250</v>
      </c>
      <c r="B551" s="55" t="s">
        <v>2024</v>
      </c>
      <c r="C551" s="56" t="s">
        <v>2025</v>
      </c>
      <c r="D551" s="56" t="s">
        <v>2025</v>
      </c>
      <c r="E551" s="57" t="s">
        <v>419</v>
      </c>
      <c r="F551" s="56" t="s">
        <v>420</v>
      </c>
      <c r="G551" s="57" t="s">
        <v>23</v>
      </c>
      <c r="H551" s="55" t="s">
        <v>179</v>
      </c>
      <c r="I551" s="57" t="s">
        <v>180</v>
      </c>
      <c r="J551" s="57" t="s">
        <v>808</v>
      </c>
      <c r="K551" s="57" t="s">
        <v>809</v>
      </c>
      <c r="L551" s="55" t="s">
        <v>36</v>
      </c>
      <c r="M551" s="58" t="s">
        <v>37</v>
      </c>
      <c r="N551" s="58" t="s">
        <v>201</v>
      </c>
      <c r="O551" s="58" t="s">
        <v>202</v>
      </c>
      <c r="P551" s="59"/>
      <c r="Q551" s="60"/>
      <c r="R551" s="60" t="s">
        <v>31</v>
      </c>
      <c r="S551" s="61">
        <v>45530.420138888898</v>
      </c>
      <c r="T551" s="62" t="s">
        <v>1959</v>
      </c>
      <c r="U551" s="63">
        <v>45620.420138888898</v>
      </c>
      <c r="V551" s="64">
        <v>-82</v>
      </c>
    </row>
    <row r="552" spans="1:22" ht="11.25" x14ac:dyDescent="0.2">
      <c r="A552" s="55">
        <v>307251</v>
      </c>
      <c r="B552" s="55" t="s">
        <v>2026</v>
      </c>
      <c r="C552" s="56" t="s">
        <v>2027</v>
      </c>
      <c r="D552" s="56" t="s">
        <v>2027</v>
      </c>
      <c r="E552" s="57" t="s">
        <v>105</v>
      </c>
      <c r="F552" s="56" t="s">
        <v>106</v>
      </c>
      <c r="G552" s="57" t="s">
        <v>23</v>
      </c>
      <c r="H552" s="55" t="s">
        <v>34</v>
      </c>
      <c r="I552" s="57" t="s">
        <v>35</v>
      </c>
      <c r="J552" s="57" t="s">
        <v>119</v>
      </c>
      <c r="K552" s="57" t="s">
        <v>120</v>
      </c>
      <c r="L552" s="55" t="s">
        <v>36</v>
      </c>
      <c r="M552" s="58" t="s">
        <v>37</v>
      </c>
      <c r="N552" s="58" t="s">
        <v>29</v>
      </c>
      <c r="O552" s="58" t="s">
        <v>30</v>
      </c>
      <c r="P552" s="59">
        <v>45537.431250000001</v>
      </c>
      <c r="Q552" s="60"/>
      <c r="R552" s="60" t="s">
        <v>31</v>
      </c>
      <c r="S552" s="61">
        <v>45525.806944444397</v>
      </c>
      <c r="T552" s="62" t="s">
        <v>109</v>
      </c>
      <c r="U552" s="63">
        <v>45623.590972222199</v>
      </c>
      <c r="V552" s="64">
        <v>-85</v>
      </c>
    </row>
    <row r="553" spans="1:22" ht="11.25" x14ac:dyDescent="0.2">
      <c r="A553" s="55">
        <v>307252</v>
      </c>
      <c r="B553" s="55" t="s">
        <v>2028</v>
      </c>
      <c r="C553" s="56" t="s">
        <v>2029</v>
      </c>
      <c r="D553" s="56" t="s">
        <v>2029</v>
      </c>
      <c r="E553" s="57" t="s">
        <v>117</v>
      </c>
      <c r="F553" s="56" t="s">
        <v>118</v>
      </c>
      <c r="G553" s="57" t="s">
        <v>23</v>
      </c>
      <c r="H553" s="55" t="s">
        <v>34</v>
      </c>
      <c r="I553" s="57" t="s">
        <v>35</v>
      </c>
      <c r="J553" s="57" t="s">
        <v>107</v>
      </c>
      <c r="K553" s="57" t="s">
        <v>108</v>
      </c>
      <c r="L553" s="55" t="s">
        <v>36</v>
      </c>
      <c r="M553" s="58" t="s">
        <v>37</v>
      </c>
      <c r="N553" s="58" t="s">
        <v>29</v>
      </c>
      <c r="O553" s="58" t="s">
        <v>30</v>
      </c>
      <c r="P553" s="59">
        <v>45537.431250000001</v>
      </c>
      <c r="Q553" s="60"/>
      <c r="R553" s="60" t="s">
        <v>31</v>
      </c>
      <c r="S553" s="61">
        <v>45524.492361111101</v>
      </c>
      <c r="T553" s="62" t="s">
        <v>109</v>
      </c>
      <c r="U553" s="63">
        <v>45623.590972222199</v>
      </c>
      <c r="V553" s="64">
        <v>-85</v>
      </c>
    </row>
    <row r="554" spans="1:22" ht="11.25" x14ac:dyDescent="0.2">
      <c r="A554" s="55">
        <v>307254</v>
      </c>
      <c r="B554" s="55" t="s">
        <v>2030</v>
      </c>
      <c r="C554" s="56" t="s">
        <v>2031</v>
      </c>
      <c r="D554" s="56" t="s">
        <v>2031</v>
      </c>
      <c r="E554" s="57" t="s">
        <v>2032</v>
      </c>
      <c r="F554" s="56" t="s">
        <v>2033</v>
      </c>
      <c r="G554" s="57" t="s">
        <v>33</v>
      </c>
      <c r="H554" s="55" t="s">
        <v>179</v>
      </c>
      <c r="I554" s="57" t="s">
        <v>180</v>
      </c>
      <c r="J554" s="57" t="s">
        <v>2034</v>
      </c>
      <c r="K554" s="57" t="s">
        <v>2034</v>
      </c>
      <c r="L554" s="55" t="s">
        <v>36</v>
      </c>
      <c r="M554" s="58" t="s">
        <v>37</v>
      </c>
      <c r="N554" s="58" t="s">
        <v>51</v>
      </c>
      <c r="O554" s="58" t="s">
        <v>52</v>
      </c>
      <c r="P554" s="59"/>
      <c r="Q554" s="60"/>
      <c r="R554" s="60" t="s">
        <v>31</v>
      </c>
      <c r="S554" s="61">
        <v>45533.494444444397</v>
      </c>
      <c r="T554" s="62" t="s">
        <v>236</v>
      </c>
      <c r="U554" s="63">
        <v>45623.494444444397</v>
      </c>
      <c r="V554" s="64">
        <v>-85</v>
      </c>
    </row>
    <row r="555" spans="1:22" ht="11.25" x14ac:dyDescent="0.2">
      <c r="A555" s="55">
        <v>307255</v>
      </c>
      <c r="B555" s="55" t="s">
        <v>2035</v>
      </c>
      <c r="C555" s="56" t="s">
        <v>2036</v>
      </c>
      <c r="D555" s="56" t="s">
        <v>2036</v>
      </c>
      <c r="E555" s="57" t="s">
        <v>2037</v>
      </c>
      <c r="F555" s="56" t="s">
        <v>2038</v>
      </c>
      <c r="G555" s="57" t="s">
        <v>33</v>
      </c>
      <c r="H555" s="55" t="s">
        <v>49</v>
      </c>
      <c r="I555" s="57" t="s">
        <v>50</v>
      </c>
      <c r="J555" s="57" t="s">
        <v>66</v>
      </c>
      <c r="K555" s="57" t="s">
        <v>67</v>
      </c>
      <c r="L555" s="55" t="s">
        <v>36</v>
      </c>
      <c r="M555" s="58" t="s">
        <v>37</v>
      </c>
      <c r="N555" s="58" t="s">
        <v>83</v>
      </c>
      <c r="O555" s="58" t="s">
        <v>84</v>
      </c>
      <c r="P555" s="59">
        <v>45533.588194444397</v>
      </c>
      <c r="Q555" s="60"/>
      <c r="R555" s="60" t="s">
        <v>31</v>
      </c>
      <c r="S555" s="61">
        <v>45533.488888888904</v>
      </c>
      <c r="T555" s="62" t="s">
        <v>236</v>
      </c>
      <c r="U555" s="63">
        <v>45623.590972222199</v>
      </c>
      <c r="V555" s="64">
        <v>-85</v>
      </c>
    </row>
    <row r="556" spans="1:22" ht="11.25" x14ac:dyDescent="0.2">
      <c r="A556" s="55">
        <v>307256</v>
      </c>
      <c r="B556" s="55" t="s">
        <v>2024</v>
      </c>
      <c r="C556" s="56" t="s">
        <v>2025</v>
      </c>
      <c r="D556" s="56" t="s">
        <v>2039</v>
      </c>
      <c r="E556" s="57" t="s">
        <v>419</v>
      </c>
      <c r="F556" s="56" t="s">
        <v>420</v>
      </c>
      <c r="G556" s="57" t="s">
        <v>23</v>
      </c>
      <c r="H556" s="55" t="s">
        <v>34</v>
      </c>
      <c r="I556" s="57" t="s">
        <v>35</v>
      </c>
      <c r="J556" s="57" t="s">
        <v>808</v>
      </c>
      <c r="K556" s="57" t="s">
        <v>809</v>
      </c>
      <c r="L556" s="55" t="s">
        <v>36</v>
      </c>
      <c r="M556" s="58" t="s">
        <v>37</v>
      </c>
      <c r="N556" s="58" t="s">
        <v>201</v>
      </c>
      <c r="O556" s="58" t="s">
        <v>202</v>
      </c>
      <c r="P556" s="59">
        <v>45534.624305555597</v>
      </c>
      <c r="Q556" s="60"/>
      <c r="R556" s="60" t="s">
        <v>31</v>
      </c>
      <c r="S556" s="61">
        <v>45532.529166666704</v>
      </c>
      <c r="T556" s="62"/>
      <c r="U556" s="63">
        <v>45623.623611111099</v>
      </c>
      <c r="V556" s="64">
        <v>-85</v>
      </c>
    </row>
    <row r="557" spans="1:22" ht="11.25" x14ac:dyDescent="0.2">
      <c r="A557" s="55">
        <v>307257</v>
      </c>
      <c r="B557" s="55" t="s">
        <v>2040</v>
      </c>
      <c r="C557" s="56" t="s">
        <v>2041</v>
      </c>
      <c r="D557" s="56" t="s">
        <v>2042</v>
      </c>
      <c r="E557" s="57" t="s">
        <v>1993</v>
      </c>
      <c r="F557" s="56" t="s">
        <v>1994</v>
      </c>
      <c r="G557" s="57" t="s">
        <v>33</v>
      </c>
      <c r="H557" s="55" t="s">
        <v>34</v>
      </c>
      <c r="I557" s="57" t="s">
        <v>35</v>
      </c>
      <c r="J557" s="57" t="s">
        <v>1640</v>
      </c>
      <c r="K557" s="57" t="s">
        <v>1641</v>
      </c>
      <c r="L557" s="55" t="s">
        <v>27</v>
      </c>
      <c r="M557" s="58" t="s">
        <v>28</v>
      </c>
      <c r="N557" s="58" t="s">
        <v>38</v>
      </c>
      <c r="O557" s="58" t="s">
        <v>39</v>
      </c>
      <c r="P557" s="59">
        <v>45534.324999999997</v>
      </c>
      <c r="Q557" s="60"/>
      <c r="R557" s="60" t="s">
        <v>40</v>
      </c>
      <c r="S557" s="61">
        <v>45533.324305555601</v>
      </c>
      <c r="T557" s="62"/>
      <c r="U557" s="63">
        <v>45534.322916666701</v>
      </c>
      <c r="V557" s="64">
        <v>4</v>
      </c>
    </row>
    <row r="558" spans="1:22" ht="11.25" x14ac:dyDescent="0.2">
      <c r="A558" s="55">
        <v>307258</v>
      </c>
      <c r="B558" s="55" t="s">
        <v>2043</v>
      </c>
      <c r="C558" s="56" t="s">
        <v>2044</v>
      </c>
      <c r="D558" s="56" t="s">
        <v>2044</v>
      </c>
      <c r="E558" s="57" t="s">
        <v>2045</v>
      </c>
      <c r="F558" s="56" t="s">
        <v>2046</v>
      </c>
      <c r="G558" s="57" t="s">
        <v>48</v>
      </c>
      <c r="H558" s="55" t="s">
        <v>49</v>
      </c>
      <c r="I558" s="57" t="s">
        <v>50</v>
      </c>
      <c r="J558" s="57" t="s">
        <v>2047</v>
      </c>
      <c r="K558" s="57" t="s">
        <v>2048</v>
      </c>
      <c r="L558" s="55" t="s">
        <v>27</v>
      </c>
      <c r="M558" s="58" t="s">
        <v>28</v>
      </c>
      <c r="N558" s="58" t="s">
        <v>57</v>
      </c>
      <c r="O558" s="58" t="s">
        <v>58</v>
      </c>
      <c r="P558" s="59">
        <v>45534.347916666702</v>
      </c>
      <c r="Q558" s="60"/>
      <c r="R558" s="60" t="s">
        <v>40</v>
      </c>
      <c r="S558" s="61">
        <v>45533.347916666702</v>
      </c>
      <c r="T558" s="62"/>
      <c r="U558" s="63">
        <v>45534.346527777801</v>
      </c>
      <c r="V558" s="64">
        <v>4</v>
      </c>
    </row>
    <row r="559" spans="1:22" ht="11.25" x14ac:dyDescent="0.2">
      <c r="A559" s="55">
        <v>307259</v>
      </c>
      <c r="B559" s="55" t="s">
        <v>2030</v>
      </c>
      <c r="C559" s="56" t="s">
        <v>2031</v>
      </c>
      <c r="D559" s="56" t="s">
        <v>2049</v>
      </c>
      <c r="E559" s="57" t="s">
        <v>2032</v>
      </c>
      <c r="F559" s="56" t="s">
        <v>2033</v>
      </c>
      <c r="G559" s="57" t="s">
        <v>33</v>
      </c>
      <c r="H559" s="55" t="s">
        <v>49</v>
      </c>
      <c r="I559" s="57" t="s">
        <v>50</v>
      </c>
      <c r="J559" s="57" t="s">
        <v>2034</v>
      </c>
      <c r="K559" s="57" t="s">
        <v>2034</v>
      </c>
      <c r="L559" s="55" t="s">
        <v>36</v>
      </c>
      <c r="M559" s="58" t="s">
        <v>37</v>
      </c>
      <c r="N559" s="58" t="s">
        <v>51</v>
      </c>
      <c r="O559" s="58" t="s">
        <v>52</v>
      </c>
      <c r="P559" s="59">
        <v>45533.3659722222</v>
      </c>
      <c r="Q559" s="60"/>
      <c r="R559" s="60" t="s">
        <v>31</v>
      </c>
      <c r="S559" s="61">
        <v>45533.578472222202</v>
      </c>
      <c r="T559" s="62"/>
      <c r="U559" s="63">
        <v>45624.3569444444</v>
      </c>
      <c r="V559" s="64">
        <v>-86</v>
      </c>
    </row>
    <row r="560" spans="1:22" ht="11.25" x14ac:dyDescent="0.2">
      <c r="A560" s="55">
        <v>307261</v>
      </c>
      <c r="B560" s="55" t="s">
        <v>2050</v>
      </c>
      <c r="C560" s="56" t="s">
        <v>2051</v>
      </c>
      <c r="D560" s="56" t="s">
        <v>2052</v>
      </c>
      <c r="E560" s="57" t="s">
        <v>2053</v>
      </c>
      <c r="F560" s="56" t="s">
        <v>2054</v>
      </c>
      <c r="G560" s="57" t="s">
        <v>33</v>
      </c>
      <c r="H560" s="55" t="s">
        <v>34</v>
      </c>
      <c r="I560" s="57" t="s">
        <v>35</v>
      </c>
      <c r="J560" s="57" t="s">
        <v>66</v>
      </c>
      <c r="K560" s="57" t="s">
        <v>67</v>
      </c>
      <c r="L560" s="55" t="s">
        <v>36</v>
      </c>
      <c r="M560" s="58" t="s">
        <v>37</v>
      </c>
      <c r="N560" s="58" t="s">
        <v>201</v>
      </c>
      <c r="O560" s="58" t="s">
        <v>202</v>
      </c>
      <c r="P560" s="59">
        <v>45538.472916666702</v>
      </c>
      <c r="Q560" s="60"/>
      <c r="R560" s="60" t="s">
        <v>31</v>
      </c>
      <c r="S560" s="61">
        <v>45534.357638888898</v>
      </c>
      <c r="T560" s="62"/>
      <c r="U560" s="63">
        <v>45624.471527777801</v>
      </c>
      <c r="V560" s="64">
        <v>-86</v>
      </c>
    </row>
    <row r="561" spans="1:22" ht="11.25" x14ac:dyDescent="0.2">
      <c r="A561" s="55">
        <v>307262</v>
      </c>
      <c r="B561" s="55" t="s">
        <v>2055</v>
      </c>
      <c r="C561" s="56" t="s">
        <v>2056</v>
      </c>
      <c r="D561" s="56" t="s">
        <v>2057</v>
      </c>
      <c r="E561" s="57" t="s">
        <v>2058</v>
      </c>
      <c r="F561" s="56" t="s">
        <v>2059</v>
      </c>
      <c r="G561" s="57" t="s">
        <v>33</v>
      </c>
      <c r="H561" s="55" t="s">
        <v>34</v>
      </c>
      <c r="I561" s="57" t="s">
        <v>35</v>
      </c>
      <c r="J561" s="57" t="s">
        <v>2060</v>
      </c>
      <c r="K561" s="57" t="s">
        <v>2061</v>
      </c>
      <c r="L561" s="55" t="s">
        <v>36</v>
      </c>
      <c r="M561" s="58" t="s">
        <v>37</v>
      </c>
      <c r="N561" s="58" t="s">
        <v>76</v>
      </c>
      <c r="O561" s="58" t="s">
        <v>77</v>
      </c>
      <c r="P561" s="59">
        <v>45537.476388888899</v>
      </c>
      <c r="Q561" s="60"/>
      <c r="R561" s="60" t="s">
        <v>40</v>
      </c>
      <c r="S561" s="61">
        <v>45534.412499999999</v>
      </c>
      <c r="T561" s="62"/>
      <c r="U561" s="63">
        <v>45534.475694444402</v>
      </c>
      <c r="V561" s="64">
        <v>4</v>
      </c>
    </row>
    <row r="562" spans="1:22" ht="11.25" x14ac:dyDescent="0.2">
      <c r="A562" s="55">
        <v>307263</v>
      </c>
      <c r="B562" s="55" t="s">
        <v>280</v>
      </c>
      <c r="C562" s="56" t="s">
        <v>1223</v>
      </c>
      <c r="D562" s="56" t="s">
        <v>1223</v>
      </c>
      <c r="E562" s="57" t="s">
        <v>112</v>
      </c>
      <c r="F562" s="56" t="s">
        <v>113</v>
      </c>
      <c r="G562" s="57" t="s">
        <v>33</v>
      </c>
      <c r="H562" s="55" t="s">
        <v>53</v>
      </c>
      <c r="I562" s="57" t="s">
        <v>54</v>
      </c>
      <c r="J562" s="57" t="s">
        <v>71</v>
      </c>
      <c r="K562" s="57" t="s">
        <v>72</v>
      </c>
      <c r="L562" s="55" t="s">
        <v>27</v>
      </c>
      <c r="M562" s="58" t="s">
        <v>28</v>
      </c>
      <c r="N562" s="58" t="s">
        <v>29</v>
      </c>
      <c r="O562" s="58" t="s">
        <v>30</v>
      </c>
      <c r="P562" s="59">
        <v>45537.654166666704</v>
      </c>
      <c r="Q562" s="60"/>
      <c r="R562" s="60" t="s">
        <v>31</v>
      </c>
      <c r="S562" s="61"/>
      <c r="T562" s="62"/>
      <c r="U562" s="63">
        <v>45624.652777777803</v>
      </c>
      <c r="V562" s="64">
        <v>-86</v>
      </c>
    </row>
    <row r="563" spans="1:22" ht="11.25" x14ac:dyDescent="0.2">
      <c r="A563" s="55">
        <v>307264</v>
      </c>
      <c r="B563" s="55" t="s">
        <v>245</v>
      </c>
      <c r="C563" s="56" t="s">
        <v>1224</v>
      </c>
      <c r="D563" s="56" t="s">
        <v>1224</v>
      </c>
      <c r="E563" s="57" t="s">
        <v>69</v>
      </c>
      <c r="F563" s="56" t="s">
        <v>70</v>
      </c>
      <c r="G563" s="57" t="s">
        <v>33</v>
      </c>
      <c r="H563" s="55" t="s">
        <v>34</v>
      </c>
      <c r="I563" s="57" t="s">
        <v>35</v>
      </c>
      <c r="J563" s="57" t="s">
        <v>71</v>
      </c>
      <c r="K563" s="57" t="s">
        <v>72</v>
      </c>
      <c r="L563" s="55" t="s">
        <v>27</v>
      </c>
      <c r="M563" s="58" t="s">
        <v>28</v>
      </c>
      <c r="N563" s="58" t="s">
        <v>29</v>
      </c>
      <c r="O563" s="58" t="s">
        <v>30</v>
      </c>
      <c r="P563" s="59">
        <v>45537.655555555597</v>
      </c>
      <c r="Q563" s="60"/>
      <c r="R563" s="60" t="s">
        <v>47</v>
      </c>
      <c r="S563" s="61">
        <v>45533.654861111099</v>
      </c>
      <c r="T563" s="62"/>
      <c r="U563" s="63">
        <v>45684.654166666704</v>
      </c>
      <c r="V563" s="64">
        <v>-146</v>
      </c>
    </row>
    <row r="564" spans="1:22" ht="11.25" x14ac:dyDescent="0.2">
      <c r="A564" s="55">
        <v>307265</v>
      </c>
      <c r="B564" s="55" t="s">
        <v>246</v>
      </c>
      <c r="C564" s="56" t="s">
        <v>1225</v>
      </c>
      <c r="D564" s="56" t="s">
        <v>1225</v>
      </c>
      <c r="E564" s="57" t="s">
        <v>219</v>
      </c>
      <c r="F564" s="56" t="s">
        <v>220</v>
      </c>
      <c r="G564" s="57" t="s">
        <v>33</v>
      </c>
      <c r="H564" s="55" t="s">
        <v>34</v>
      </c>
      <c r="I564" s="57" t="s">
        <v>35</v>
      </c>
      <c r="J564" s="57" t="s">
        <v>71</v>
      </c>
      <c r="K564" s="57" t="s">
        <v>72</v>
      </c>
      <c r="L564" s="55" t="s">
        <v>27</v>
      </c>
      <c r="M564" s="58" t="s">
        <v>28</v>
      </c>
      <c r="N564" s="58" t="s">
        <v>29</v>
      </c>
      <c r="O564" s="58" t="s">
        <v>30</v>
      </c>
      <c r="P564" s="59">
        <v>45537.65625</v>
      </c>
      <c r="Q564" s="60"/>
      <c r="R564" s="60" t="s">
        <v>40</v>
      </c>
      <c r="S564" s="61">
        <v>45533.655555555597</v>
      </c>
      <c r="T564" s="62"/>
      <c r="U564" s="63">
        <v>45534.655555555597</v>
      </c>
      <c r="V564" s="64">
        <v>4</v>
      </c>
    </row>
    <row r="565" spans="1:22" ht="11.25" x14ac:dyDescent="0.2">
      <c r="A565" s="55">
        <v>307266</v>
      </c>
      <c r="B565" s="55" t="s">
        <v>2062</v>
      </c>
      <c r="C565" s="56" t="s">
        <v>2063</v>
      </c>
      <c r="D565" s="56" t="s">
        <v>2064</v>
      </c>
      <c r="E565" s="57" t="s">
        <v>159</v>
      </c>
      <c r="F565" s="56" t="s">
        <v>160</v>
      </c>
      <c r="G565" s="57" t="s">
        <v>23</v>
      </c>
      <c r="H565" s="55" t="s">
        <v>34</v>
      </c>
      <c r="I565" s="57" t="s">
        <v>35</v>
      </c>
      <c r="J565" s="57" t="s">
        <v>66</v>
      </c>
      <c r="K565" s="57" t="s">
        <v>67</v>
      </c>
      <c r="L565" s="55" t="s">
        <v>36</v>
      </c>
      <c r="M565" s="58" t="s">
        <v>37</v>
      </c>
      <c r="N565" s="58" t="s">
        <v>83</v>
      </c>
      <c r="O565" s="58" t="s">
        <v>84</v>
      </c>
      <c r="P565" s="59">
        <v>45537.431944444397</v>
      </c>
      <c r="Q565" s="60"/>
      <c r="R565" s="60" t="s">
        <v>31</v>
      </c>
      <c r="S565" s="61">
        <v>45533.619444444397</v>
      </c>
      <c r="T565" s="62"/>
      <c r="U565" s="63">
        <v>45627.323611111096</v>
      </c>
      <c r="V565" s="64">
        <v>-89</v>
      </c>
    </row>
    <row r="566" spans="1:22" ht="11.25" x14ac:dyDescent="0.2">
      <c r="A566" s="55">
        <v>307267</v>
      </c>
      <c r="B566" s="55" t="s">
        <v>2065</v>
      </c>
      <c r="C566" s="56" t="s">
        <v>2066</v>
      </c>
      <c r="D566" s="56" t="s">
        <v>2067</v>
      </c>
      <c r="E566" s="57" t="s">
        <v>274</v>
      </c>
      <c r="F566" s="56" t="s">
        <v>275</v>
      </c>
      <c r="G566" s="57" t="s">
        <v>33</v>
      </c>
      <c r="H566" s="55" t="s">
        <v>22</v>
      </c>
      <c r="I566" s="57" t="s">
        <v>24</v>
      </c>
      <c r="J566" s="57" t="s">
        <v>66</v>
      </c>
      <c r="K566" s="57" t="s">
        <v>67</v>
      </c>
      <c r="L566" s="55" t="s">
        <v>36</v>
      </c>
      <c r="M566" s="58" t="s">
        <v>37</v>
      </c>
      <c r="N566" s="58" t="s">
        <v>76</v>
      </c>
      <c r="O566" s="58" t="s">
        <v>77</v>
      </c>
      <c r="P566" s="59"/>
      <c r="Q566" s="60"/>
      <c r="R566" s="60" t="s">
        <v>47</v>
      </c>
      <c r="S566" s="61">
        <v>45534.495833333298</v>
      </c>
      <c r="T566" s="62"/>
      <c r="U566" s="63">
        <v>45687.328472222202</v>
      </c>
      <c r="V566" s="64">
        <v>-149</v>
      </c>
    </row>
    <row r="567" spans="1:22" ht="11.25" x14ac:dyDescent="0.2">
      <c r="A567" s="55">
        <v>307268</v>
      </c>
      <c r="B567" s="55" t="s">
        <v>2068</v>
      </c>
      <c r="C567" s="56" t="s">
        <v>2069</v>
      </c>
      <c r="D567" s="56" t="s">
        <v>2069</v>
      </c>
      <c r="E567" s="57" t="s">
        <v>136</v>
      </c>
      <c r="F567" s="56" t="s">
        <v>137</v>
      </c>
      <c r="G567" s="57" t="s">
        <v>23</v>
      </c>
      <c r="H567" s="55" t="s">
        <v>34</v>
      </c>
      <c r="I567" s="57" t="s">
        <v>35</v>
      </c>
      <c r="J567" s="57" t="s">
        <v>543</v>
      </c>
      <c r="K567" s="57" t="s">
        <v>544</v>
      </c>
      <c r="L567" s="55" t="s">
        <v>36</v>
      </c>
      <c r="M567" s="58" t="s">
        <v>37</v>
      </c>
      <c r="N567" s="58" t="s">
        <v>29</v>
      </c>
      <c r="O567" s="58" t="s">
        <v>30</v>
      </c>
      <c r="P567" s="59">
        <v>45538.399305555598</v>
      </c>
      <c r="Q567" s="60"/>
      <c r="R567" s="60" t="s">
        <v>31</v>
      </c>
      <c r="S567" s="61">
        <v>45531.543055555601</v>
      </c>
      <c r="T567" s="62" t="s">
        <v>140</v>
      </c>
      <c r="U567" s="63">
        <v>45627.461111111101</v>
      </c>
      <c r="V567" s="64">
        <v>-89</v>
      </c>
    </row>
    <row r="568" spans="1:22" ht="11.25" x14ac:dyDescent="0.2">
      <c r="A568" s="55">
        <v>307270</v>
      </c>
      <c r="B568" s="55" t="s">
        <v>2070</v>
      </c>
      <c r="C568" s="56" t="s">
        <v>2071</v>
      </c>
      <c r="D568" s="56" t="s">
        <v>2071</v>
      </c>
      <c r="E568" s="57" t="s">
        <v>136</v>
      </c>
      <c r="F568" s="56" t="s">
        <v>137</v>
      </c>
      <c r="G568" s="57" t="s">
        <v>23</v>
      </c>
      <c r="H568" s="55" t="s">
        <v>179</v>
      </c>
      <c r="I568" s="57" t="s">
        <v>180</v>
      </c>
      <c r="J568" s="57" t="s">
        <v>143</v>
      </c>
      <c r="K568" s="57" t="s">
        <v>144</v>
      </c>
      <c r="L568" s="55" t="s">
        <v>36</v>
      </c>
      <c r="M568" s="58" t="s">
        <v>37</v>
      </c>
      <c r="N568" s="58" t="s">
        <v>83</v>
      </c>
      <c r="O568" s="58" t="s">
        <v>84</v>
      </c>
      <c r="P568" s="59"/>
      <c r="Q568" s="60"/>
      <c r="R568" s="60" t="s">
        <v>31</v>
      </c>
      <c r="S568" s="61">
        <v>45533.382638888899</v>
      </c>
      <c r="T568" s="62" t="s">
        <v>140</v>
      </c>
      <c r="U568" s="63">
        <v>45623.382638888899</v>
      </c>
      <c r="V568" s="64">
        <v>-85</v>
      </c>
    </row>
    <row r="569" spans="1:22" ht="11.25" x14ac:dyDescent="0.2">
      <c r="A569" s="55">
        <v>307271</v>
      </c>
      <c r="B569" s="55" t="s">
        <v>2072</v>
      </c>
      <c r="C569" s="56" t="s">
        <v>2073</v>
      </c>
      <c r="D569" s="56" t="s">
        <v>2073</v>
      </c>
      <c r="E569" s="57" t="s">
        <v>632</v>
      </c>
      <c r="F569" s="56" t="s">
        <v>633</v>
      </c>
      <c r="G569" s="57" t="s">
        <v>23</v>
      </c>
      <c r="H569" s="55" t="s">
        <v>34</v>
      </c>
      <c r="I569" s="57" t="s">
        <v>35</v>
      </c>
      <c r="J569" s="57" t="s">
        <v>634</v>
      </c>
      <c r="K569" s="57" t="s">
        <v>635</v>
      </c>
      <c r="L569" s="55" t="s">
        <v>36</v>
      </c>
      <c r="M569" s="58" t="s">
        <v>37</v>
      </c>
      <c r="N569" s="58" t="s">
        <v>29</v>
      </c>
      <c r="O569" s="58" t="s">
        <v>30</v>
      </c>
      <c r="P569" s="59">
        <v>45538.5805555556</v>
      </c>
      <c r="Q569" s="60"/>
      <c r="R569" s="60" t="s">
        <v>31</v>
      </c>
      <c r="S569" s="61">
        <v>45537.269444444399</v>
      </c>
      <c r="T569" s="62" t="s">
        <v>99</v>
      </c>
      <c r="U569" s="63">
        <v>45627.461111111101</v>
      </c>
      <c r="V569" s="64">
        <v>-89</v>
      </c>
    </row>
    <row r="570" spans="1:22" ht="11.25" x14ac:dyDescent="0.2">
      <c r="A570" s="55">
        <v>307272</v>
      </c>
      <c r="B570" s="55" t="s">
        <v>2074</v>
      </c>
      <c r="C570" s="56" t="s">
        <v>2075</v>
      </c>
      <c r="D570" s="56" t="s">
        <v>2075</v>
      </c>
      <c r="E570" s="57" t="s">
        <v>159</v>
      </c>
      <c r="F570" s="56" t="s">
        <v>160</v>
      </c>
      <c r="G570" s="57" t="s">
        <v>23</v>
      </c>
      <c r="H570" s="55" t="s">
        <v>34</v>
      </c>
      <c r="I570" s="57" t="s">
        <v>35</v>
      </c>
      <c r="J570" s="57" t="s">
        <v>121</v>
      </c>
      <c r="K570" s="57" t="s">
        <v>122</v>
      </c>
      <c r="L570" s="55" t="s">
        <v>36</v>
      </c>
      <c r="M570" s="58" t="s">
        <v>37</v>
      </c>
      <c r="N570" s="58" t="s">
        <v>29</v>
      </c>
      <c r="O570" s="58" t="s">
        <v>30</v>
      </c>
      <c r="P570" s="59">
        <v>45538.581250000003</v>
      </c>
      <c r="Q570" s="60"/>
      <c r="R570" s="60" t="s">
        <v>31</v>
      </c>
      <c r="S570" s="61">
        <v>45535.429166666698</v>
      </c>
      <c r="T570" s="62" t="s">
        <v>161</v>
      </c>
      <c r="U570" s="63">
        <v>45627.461111111101</v>
      </c>
      <c r="V570" s="64">
        <v>-89</v>
      </c>
    </row>
    <row r="571" spans="1:22" ht="11.25" x14ac:dyDescent="0.2">
      <c r="A571" s="55">
        <v>307273</v>
      </c>
      <c r="B571" s="55" t="s">
        <v>2076</v>
      </c>
      <c r="C571" s="56" t="s">
        <v>2077</v>
      </c>
      <c r="D571" s="56" t="s">
        <v>2078</v>
      </c>
      <c r="E571" s="57" t="s">
        <v>159</v>
      </c>
      <c r="F571" s="56" t="s">
        <v>160</v>
      </c>
      <c r="G571" s="57" t="s">
        <v>23</v>
      </c>
      <c r="H571" s="55" t="s">
        <v>22</v>
      </c>
      <c r="I571" s="57" t="s">
        <v>24</v>
      </c>
      <c r="J571" s="57" t="s">
        <v>121</v>
      </c>
      <c r="K571" s="57" t="s">
        <v>122</v>
      </c>
      <c r="L571" s="55" t="s">
        <v>36</v>
      </c>
      <c r="M571" s="58" t="s">
        <v>37</v>
      </c>
      <c r="N571" s="58" t="s">
        <v>29</v>
      </c>
      <c r="O571" s="58" t="s">
        <v>30</v>
      </c>
      <c r="P571" s="59">
        <v>45538.581250000003</v>
      </c>
      <c r="Q571" s="60"/>
      <c r="R571" s="60" t="s">
        <v>31</v>
      </c>
      <c r="S571" s="61">
        <v>45535.4284722222</v>
      </c>
      <c r="T571" s="62" t="s">
        <v>161</v>
      </c>
      <c r="U571" s="63">
        <v>45627.461111111101</v>
      </c>
      <c r="V571" s="64">
        <v>-89</v>
      </c>
    </row>
    <row r="572" spans="1:22" ht="11.25" x14ac:dyDescent="0.2">
      <c r="A572" s="55">
        <v>307274</v>
      </c>
      <c r="B572" s="55" t="s">
        <v>2079</v>
      </c>
      <c r="C572" s="56" t="s">
        <v>2080</v>
      </c>
      <c r="D572" s="56" t="s">
        <v>2080</v>
      </c>
      <c r="E572" s="57" t="s">
        <v>159</v>
      </c>
      <c r="F572" s="56" t="s">
        <v>160</v>
      </c>
      <c r="G572" s="57" t="s">
        <v>23</v>
      </c>
      <c r="H572" s="55" t="s">
        <v>34</v>
      </c>
      <c r="I572" s="57" t="s">
        <v>35</v>
      </c>
      <c r="J572" s="57" t="s">
        <v>121</v>
      </c>
      <c r="K572" s="57" t="s">
        <v>122</v>
      </c>
      <c r="L572" s="55" t="s">
        <v>36</v>
      </c>
      <c r="M572" s="58" t="s">
        <v>37</v>
      </c>
      <c r="N572" s="58" t="s">
        <v>29</v>
      </c>
      <c r="O572" s="58" t="s">
        <v>30</v>
      </c>
      <c r="P572" s="59">
        <v>45538.581250000003</v>
      </c>
      <c r="Q572" s="60"/>
      <c r="R572" s="60" t="s">
        <v>31</v>
      </c>
      <c r="S572" s="61">
        <v>45535.4243055556</v>
      </c>
      <c r="T572" s="62" t="s">
        <v>161</v>
      </c>
      <c r="U572" s="63">
        <v>45627.461111111101</v>
      </c>
      <c r="V572" s="64">
        <v>-89</v>
      </c>
    </row>
    <row r="573" spans="1:22" ht="11.25" x14ac:dyDescent="0.2">
      <c r="A573" s="55">
        <v>307275</v>
      </c>
      <c r="B573" s="55" t="s">
        <v>2081</v>
      </c>
      <c r="C573" s="56" t="s">
        <v>2082</v>
      </c>
      <c r="D573" s="56" t="s">
        <v>2082</v>
      </c>
      <c r="E573" s="57" t="s">
        <v>419</v>
      </c>
      <c r="F573" s="56" t="s">
        <v>420</v>
      </c>
      <c r="G573" s="57" t="s">
        <v>23</v>
      </c>
      <c r="H573" s="55" t="s">
        <v>34</v>
      </c>
      <c r="I573" s="57" t="s">
        <v>35</v>
      </c>
      <c r="J573" s="57" t="s">
        <v>808</v>
      </c>
      <c r="K573" s="57" t="s">
        <v>809</v>
      </c>
      <c r="L573" s="55" t="s">
        <v>36</v>
      </c>
      <c r="M573" s="58" t="s">
        <v>37</v>
      </c>
      <c r="N573" s="58" t="s">
        <v>29</v>
      </c>
      <c r="O573" s="58" t="s">
        <v>30</v>
      </c>
      <c r="P573" s="59">
        <v>45538.581944444399</v>
      </c>
      <c r="Q573" s="60"/>
      <c r="R573" s="60" t="s">
        <v>31</v>
      </c>
      <c r="S573" s="61">
        <v>45530.422222222202</v>
      </c>
      <c r="T573" s="62" t="s">
        <v>1959</v>
      </c>
      <c r="U573" s="63">
        <v>45627.461111111101</v>
      </c>
      <c r="V573" s="64">
        <v>-89</v>
      </c>
    </row>
    <row r="574" spans="1:22" ht="11.25" x14ac:dyDescent="0.2">
      <c r="A574" s="55">
        <v>307276</v>
      </c>
      <c r="B574" s="55" t="s">
        <v>2083</v>
      </c>
      <c r="C574" s="56" t="s">
        <v>2084</v>
      </c>
      <c r="D574" s="56" t="s">
        <v>2084</v>
      </c>
      <c r="E574" s="57" t="s">
        <v>2085</v>
      </c>
      <c r="F574" s="56" t="s">
        <v>2086</v>
      </c>
      <c r="G574" s="57" t="s">
        <v>33</v>
      </c>
      <c r="H574" s="55" t="s">
        <v>179</v>
      </c>
      <c r="I574" s="57" t="s">
        <v>180</v>
      </c>
      <c r="J574" s="57" t="s">
        <v>66</v>
      </c>
      <c r="K574" s="57" t="s">
        <v>67</v>
      </c>
      <c r="L574" s="55" t="s">
        <v>36</v>
      </c>
      <c r="M574" s="58" t="s">
        <v>37</v>
      </c>
      <c r="N574" s="58" t="s">
        <v>29</v>
      </c>
      <c r="O574" s="58" t="s">
        <v>30</v>
      </c>
      <c r="P574" s="59"/>
      <c r="Q574" s="60"/>
      <c r="R574" s="60" t="s">
        <v>31</v>
      </c>
      <c r="S574" s="61">
        <v>45533.661111111098</v>
      </c>
      <c r="T574" s="62" t="s">
        <v>236</v>
      </c>
      <c r="U574" s="63">
        <v>45623.661111111098</v>
      </c>
      <c r="V574" s="64">
        <v>-85</v>
      </c>
    </row>
    <row r="575" spans="1:22" ht="11.25" x14ac:dyDescent="0.2">
      <c r="A575" s="55">
        <v>307277</v>
      </c>
      <c r="B575" s="55" t="s">
        <v>2087</v>
      </c>
      <c r="C575" s="56" t="s">
        <v>2088</v>
      </c>
      <c r="D575" s="56" t="s">
        <v>2088</v>
      </c>
      <c r="E575" s="57" t="s">
        <v>1371</v>
      </c>
      <c r="F575" s="56" t="s">
        <v>1372</v>
      </c>
      <c r="G575" s="57" t="s">
        <v>33</v>
      </c>
      <c r="H575" s="55" t="s">
        <v>179</v>
      </c>
      <c r="I575" s="57" t="s">
        <v>180</v>
      </c>
      <c r="J575" s="57" t="s">
        <v>1743</v>
      </c>
      <c r="K575" s="57" t="s">
        <v>1744</v>
      </c>
      <c r="L575" s="55" t="s">
        <v>36</v>
      </c>
      <c r="M575" s="58" t="s">
        <v>37</v>
      </c>
      <c r="N575" s="58" t="s">
        <v>38</v>
      </c>
      <c r="O575" s="58" t="s">
        <v>39</v>
      </c>
      <c r="P575" s="59"/>
      <c r="Q575" s="60"/>
      <c r="R575" s="60" t="s">
        <v>31</v>
      </c>
      <c r="S575" s="61">
        <v>45534.647916666698</v>
      </c>
      <c r="T575" s="62" t="s">
        <v>62</v>
      </c>
      <c r="U575" s="63">
        <v>45624.647916666698</v>
      </c>
      <c r="V575" s="64">
        <v>-86</v>
      </c>
    </row>
    <row r="576" spans="1:22" ht="11.25" x14ac:dyDescent="0.2">
      <c r="A576" s="55">
        <v>307279</v>
      </c>
      <c r="B576" s="55" t="s">
        <v>2089</v>
      </c>
      <c r="C576" s="56" t="s">
        <v>2090</v>
      </c>
      <c r="D576" s="56" t="s">
        <v>2090</v>
      </c>
      <c r="E576" s="57" t="s">
        <v>155</v>
      </c>
      <c r="F576" s="56" t="s">
        <v>156</v>
      </c>
      <c r="G576" s="57" t="s">
        <v>33</v>
      </c>
      <c r="H576" s="55" t="s">
        <v>34</v>
      </c>
      <c r="I576" s="57" t="s">
        <v>35</v>
      </c>
      <c r="J576" s="57" t="s">
        <v>2091</v>
      </c>
      <c r="K576" s="57" t="s">
        <v>2092</v>
      </c>
      <c r="L576" s="55" t="s">
        <v>2093</v>
      </c>
      <c r="M576" s="58" t="s">
        <v>28</v>
      </c>
      <c r="N576" s="58" t="s">
        <v>83</v>
      </c>
      <c r="O576" s="58" t="s">
        <v>84</v>
      </c>
      <c r="P576" s="59"/>
      <c r="Q576" s="60"/>
      <c r="R576" s="60" t="s">
        <v>40</v>
      </c>
      <c r="S576" s="61">
        <v>45537.333333333299</v>
      </c>
      <c r="T576" s="62"/>
      <c r="U576" s="63">
        <v>45537.566666666702</v>
      </c>
      <c r="V576" s="64">
        <v>1</v>
      </c>
    </row>
    <row r="577" spans="1:22" ht="11.25" x14ac:dyDescent="0.2">
      <c r="A577" s="55">
        <v>307280</v>
      </c>
      <c r="B577" s="55" t="s">
        <v>2094</v>
      </c>
      <c r="C577" s="56" t="s">
        <v>2095</v>
      </c>
      <c r="D577" s="56" t="s">
        <v>2096</v>
      </c>
      <c r="E577" s="57" t="s">
        <v>1366</v>
      </c>
      <c r="F577" s="56" t="s">
        <v>1367</v>
      </c>
      <c r="G577" s="57" t="s">
        <v>33</v>
      </c>
      <c r="H577" s="55" t="s">
        <v>34</v>
      </c>
      <c r="I577" s="57" t="s">
        <v>35</v>
      </c>
      <c r="J577" s="57" t="s">
        <v>71</v>
      </c>
      <c r="K577" s="57" t="s">
        <v>72</v>
      </c>
      <c r="L577" s="55" t="s">
        <v>36</v>
      </c>
      <c r="M577" s="58" t="s">
        <v>37</v>
      </c>
      <c r="N577" s="58" t="s">
        <v>83</v>
      </c>
      <c r="O577" s="58" t="s">
        <v>84</v>
      </c>
      <c r="P577" s="59">
        <v>45538.579166666699</v>
      </c>
      <c r="Q577" s="60"/>
      <c r="R577" s="60" t="s">
        <v>31</v>
      </c>
      <c r="S577" s="61">
        <v>45537.422916666699</v>
      </c>
      <c r="T577" s="62"/>
      <c r="U577" s="63">
        <v>45627.577777777798</v>
      </c>
      <c r="V577" s="64">
        <v>-89</v>
      </c>
    </row>
    <row r="578" spans="1:22" ht="11.25" x14ac:dyDescent="0.2">
      <c r="A578" s="55">
        <v>307281</v>
      </c>
      <c r="B578" s="55" t="s">
        <v>2097</v>
      </c>
      <c r="C578" s="56" t="s">
        <v>2098</v>
      </c>
      <c r="D578" s="56" t="s">
        <v>2098</v>
      </c>
      <c r="E578" s="57" t="s">
        <v>632</v>
      </c>
      <c r="F578" s="56" t="s">
        <v>633</v>
      </c>
      <c r="G578" s="57" t="s">
        <v>23</v>
      </c>
      <c r="H578" s="55" t="s">
        <v>179</v>
      </c>
      <c r="I578" s="57" t="s">
        <v>180</v>
      </c>
      <c r="J578" s="57" t="s">
        <v>634</v>
      </c>
      <c r="K578" s="57" t="s">
        <v>635</v>
      </c>
      <c r="L578" s="55" t="s">
        <v>36</v>
      </c>
      <c r="M578" s="58" t="s">
        <v>37</v>
      </c>
      <c r="N578" s="58" t="s">
        <v>83</v>
      </c>
      <c r="O578" s="58" t="s">
        <v>84</v>
      </c>
      <c r="P578" s="59"/>
      <c r="Q578" s="60"/>
      <c r="R578" s="60" t="s">
        <v>31</v>
      </c>
      <c r="S578" s="61">
        <v>45537.2680555556</v>
      </c>
      <c r="T578" s="62" t="s">
        <v>99</v>
      </c>
      <c r="U578" s="63">
        <v>45627.2680555556</v>
      </c>
      <c r="V578" s="64">
        <v>-89</v>
      </c>
    </row>
    <row r="579" spans="1:22" ht="11.25" x14ac:dyDescent="0.2">
      <c r="A579" s="55">
        <v>307282</v>
      </c>
      <c r="B579" s="55" t="s">
        <v>2099</v>
      </c>
      <c r="C579" s="56" t="s">
        <v>2100</v>
      </c>
      <c r="D579" s="56" t="s">
        <v>2100</v>
      </c>
      <c r="E579" s="57" t="s">
        <v>187</v>
      </c>
      <c r="F579" s="56" t="s">
        <v>188</v>
      </c>
      <c r="G579" s="57" t="s">
        <v>23</v>
      </c>
      <c r="H579" s="55" t="s">
        <v>179</v>
      </c>
      <c r="I579" s="57" t="s">
        <v>180</v>
      </c>
      <c r="J579" s="57" t="s">
        <v>189</v>
      </c>
      <c r="K579" s="57" t="s">
        <v>190</v>
      </c>
      <c r="L579" s="55" t="s">
        <v>36</v>
      </c>
      <c r="M579" s="58" t="s">
        <v>37</v>
      </c>
      <c r="N579" s="58" t="s">
        <v>83</v>
      </c>
      <c r="O579" s="58" t="s">
        <v>84</v>
      </c>
      <c r="P579" s="59"/>
      <c r="Q579" s="60"/>
      <c r="R579" s="60" t="s">
        <v>31</v>
      </c>
      <c r="S579" s="61">
        <v>45532.342361111099</v>
      </c>
      <c r="T579" s="62" t="s">
        <v>99</v>
      </c>
      <c r="U579" s="63">
        <v>45622.342361111099</v>
      </c>
      <c r="V579" s="64">
        <v>-84</v>
      </c>
    </row>
    <row r="580" spans="1:22" ht="11.25" x14ac:dyDescent="0.2">
      <c r="A580" s="55">
        <v>307283</v>
      </c>
      <c r="B580" s="55" t="s">
        <v>2101</v>
      </c>
      <c r="C580" s="56" t="s">
        <v>2102</v>
      </c>
      <c r="D580" s="56" t="s">
        <v>2103</v>
      </c>
      <c r="E580" s="57" t="s">
        <v>1688</v>
      </c>
      <c r="F580" s="56" t="s">
        <v>1689</v>
      </c>
      <c r="G580" s="57" t="s">
        <v>23</v>
      </c>
      <c r="H580" s="55" t="s">
        <v>34</v>
      </c>
      <c r="I580" s="57" t="s">
        <v>35</v>
      </c>
      <c r="J580" s="57" t="s">
        <v>339</v>
      </c>
      <c r="K580" s="57" t="s">
        <v>340</v>
      </c>
      <c r="L580" s="55" t="s">
        <v>36</v>
      </c>
      <c r="M580" s="58" t="s">
        <v>37</v>
      </c>
      <c r="N580" s="58" t="s">
        <v>29</v>
      </c>
      <c r="O580" s="58" t="s">
        <v>30</v>
      </c>
      <c r="P580" s="59"/>
      <c r="Q580" s="60"/>
      <c r="R580" s="60" t="s">
        <v>31</v>
      </c>
      <c r="S580" s="61">
        <v>45538.418749999997</v>
      </c>
      <c r="T580" s="62"/>
      <c r="U580" s="63">
        <v>45628.517361111102</v>
      </c>
      <c r="V580" s="64">
        <v>-90</v>
      </c>
    </row>
    <row r="581" spans="1:22" ht="11.25" x14ac:dyDescent="0.2">
      <c r="A581" s="55">
        <v>307029</v>
      </c>
      <c r="B581" s="55" t="s">
        <v>1479</v>
      </c>
      <c r="C581" s="56" t="s">
        <v>1551</v>
      </c>
      <c r="D581" s="56" t="s">
        <v>1551</v>
      </c>
      <c r="E581" s="57" t="s">
        <v>453</v>
      </c>
      <c r="F581" s="56" t="s">
        <v>454</v>
      </c>
      <c r="G581" s="57" t="s">
        <v>23</v>
      </c>
      <c r="H581" s="55" t="s">
        <v>179</v>
      </c>
      <c r="I581" s="57" t="s">
        <v>180</v>
      </c>
      <c r="J581" s="57" t="s">
        <v>1289</v>
      </c>
      <c r="K581" s="57" t="s">
        <v>1290</v>
      </c>
      <c r="L581" s="55" t="s">
        <v>36</v>
      </c>
      <c r="M581" s="58" t="s">
        <v>37</v>
      </c>
      <c r="N581" s="58" t="s">
        <v>57</v>
      </c>
      <c r="O581" s="58" t="s">
        <v>58</v>
      </c>
      <c r="P581" s="59"/>
      <c r="Q581" s="60"/>
      <c r="R581" s="60" t="s">
        <v>31</v>
      </c>
      <c r="S581" s="61">
        <v>45505.46875</v>
      </c>
      <c r="T581" s="62" t="s">
        <v>32</v>
      </c>
      <c r="U581" s="63">
        <v>45595.46875</v>
      </c>
      <c r="V581" s="64">
        <v>-71</v>
      </c>
    </row>
    <row r="582" spans="1:22" ht="11.25" x14ac:dyDescent="0.2">
      <c r="A582" s="55">
        <v>307030</v>
      </c>
      <c r="B582" s="55" t="s">
        <v>1552</v>
      </c>
      <c r="C582" s="56" t="s">
        <v>1553</v>
      </c>
      <c r="D582" s="56" t="s">
        <v>1554</v>
      </c>
      <c r="E582" s="57" t="s">
        <v>578</v>
      </c>
      <c r="F582" s="56" t="s">
        <v>579</v>
      </c>
      <c r="G582" s="57" t="s">
        <v>23</v>
      </c>
      <c r="H582" s="55" t="s">
        <v>22</v>
      </c>
      <c r="I582" s="57" t="s">
        <v>24</v>
      </c>
      <c r="J582" s="57" t="s">
        <v>25</v>
      </c>
      <c r="K582" s="57" t="s">
        <v>26</v>
      </c>
      <c r="L582" s="55" t="s">
        <v>36</v>
      </c>
      <c r="M582" s="58" t="s">
        <v>37</v>
      </c>
      <c r="N582" s="58" t="s">
        <v>29</v>
      </c>
      <c r="O582" s="58" t="s">
        <v>30</v>
      </c>
      <c r="P582" s="59">
        <v>45517.6118055556</v>
      </c>
      <c r="Q582" s="60"/>
      <c r="R582" s="60" t="s">
        <v>31</v>
      </c>
      <c r="S582" s="61">
        <v>45502.556944444397</v>
      </c>
      <c r="T582" s="62" t="s">
        <v>80</v>
      </c>
      <c r="U582" s="63">
        <v>45600.632638888899</v>
      </c>
      <c r="V582" s="64">
        <v>-76</v>
      </c>
    </row>
    <row r="583" spans="1:22" ht="11.25" x14ac:dyDescent="0.2">
      <c r="A583" s="55">
        <v>307031</v>
      </c>
      <c r="B583" s="55" t="s">
        <v>1555</v>
      </c>
      <c r="C583" s="56" t="s">
        <v>1556</v>
      </c>
      <c r="D583" s="56" t="s">
        <v>1556</v>
      </c>
      <c r="E583" s="57" t="s">
        <v>42</v>
      </c>
      <c r="F583" s="56" t="s">
        <v>43</v>
      </c>
      <c r="G583" s="57" t="s">
        <v>23</v>
      </c>
      <c r="H583" s="55" t="s">
        <v>34</v>
      </c>
      <c r="I583" s="57" t="s">
        <v>35</v>
      </c>
      <c r="J583" s="57" t="s">
        <v>469</v>
      </c>
      <c r="K583" s="57" t="s">
        <v>470</v>
      </c>
      <c r="L583" s="55" t="s">
        <v>36</v>
      </c>
      <c r="M583" s="58" t="s">
        <v>37</v>
      </c>
      <c r="N583" s="58" t="s">
        <v>29</v>
      </c>
      <c r="O583" s="58" t="s">
        <v>30</v>
      </c>
      <c r="P583" s="59">
        <v>45517.656944444403</v>
      </c>
      <c r="Q583" s="60"/>
      <c r="R583" s="60" t="s">
        <v>31</v>
      </c>
      <c r="S583" s="61">
        <v>45498.3930555556</v>
      </c>
      <c r="T583" s="62" t="s">
        <v>46</v>
      </c>
      <c r="U583" s="63">
        <v>45600.632638888899</v>
      </c>
      <c r="V583" s="64">
        <v>-76</v>
      </c>
    </row>
    <row r="584" spans="1:22" ht="11.25" x14ac:dyDescent="0.2">
      <c r="A584" s="55">
        <v>307035</v>
      </c>
      <c r="B584" s="55" t="s">
        <v>1557</v>
      </c>
      <c r="C584" s="56" t="s">
        <v>1558</v>
      </c>
      <c r="D584" s="56" t="s">
        <v>1558</v>
      </c>
      <c r="E584" s="57" t="s">
        <v>673</v>
      </c>
      <c r="F584" s="56" t="s">
        <v>674</v>
      </c>
      <c r="G584" s="57" t="s">
        <v>23</v>
      </c>
      <c r="H584" s="55" t="s">
        <v>22</v>
      </c>
      <c r="I584" s="57" t="s">
        <v>24</v>
      </c>
      <c r="J584" s="57" t="s">
        <v>226</v>
      </c>
      <c r="K584" s="57" t="s">
        <v>227</v>
      </c>
      <c r="L584" s="55" t="s">
        <v>36</v>
      </c>
      <c r="M584" s="58" t="s">
        <v>37</v>
      </c>
      <c r="N584" s="58" t="s">
        <v>29</v>
      </c>
      <c r="O584" s="58" t="s">
        <v>30</v>
      </c>
      <c r="P584" s="59">
        <v>45517.676388888904</v>
      </c>
      <c r="Q584" s="60"/>
      <c r="R584" s="60" t="s">
        <v>31</v>
      </c>
      <c r="S584" s="61">
        <v>45497.704861111102</v>
      </c>
      <c r="T584" s="62" t="s">
        <v>85</v>
      </c>
      <c r="U584" s="63">
        <v>45600.632638888899</v>
      </c>
      <c r="V584" s="64">
        <v>-76</v>
      </c>
    </row>
    <row r="585" spans="1:22" ht="11.25" x14ac:dyDescent="0.2">
      <c r="A585" s="55">
        <v>307036</v>
      </c>
      <c r="B585" s="55" t="s">
        <v>1559</v>
      </c>
      <c r="C585" s="56" t="s">
        <v>1560</v>
      </c>
      <c r="D585" s="56" t="s">
        <v>1560</v>
      </c>
      <c r="E585" s="57" t="s">
        <v>159</v>
      </c>
      <c r="F585" s="56" t="s">
        <v>160</v>
      </c>
      <c r="G585" s="57" t="s">
        <v>23</v>
      </c>
      <c r="H585" s="55" t="s">
        <v>179</v>
      </c>
      <c r="I585" s="57" t="s">
        <v>180</v>
      </c>
      <c r="J585" s="57" t="s">
        <v>1242</v>
      </c>
      <c r="K585" s="57" t="s">
        <v>1243</v>
      </c>
      <c r="L585" s="55" t="s">
        <v>36</v>
      </c>
      <c r="M585" s="58" t="s">
        <v>37</v>
      </c>
      <c r="N585" s="58" t="s">
        <v>51</v>
      </c>
      <c r="O585" s="58" t="s">
        <v>52</v>
      </c>
      <c r="P585" s="59"/>
      <c r="Q585" s="60"/>
      <c r="R585" s="60" t="s">
        <v>31</v>
      </c>
      <c r="S585" s="61">
        <v>45498.526388888902</v>
      </c>
      <c r="T585" s="62" t="s">
        <v>161</v>
      </c>
      <c r="U585" s="63">
        <v>45588.526388888902</v>
      </c>
      <c r="V585" s="64">
        <v>-64</v>
      </c>
    </row>
    <row r="586" spans="1:22" ht="11.25" x14ac:dyDescent="0.2">
      <c r="A586" s="55">
        <v>307037</v>
      </c>
      <c r="B586" s="55" t="s">
        <v>1561</v>
      </c>
      <c r="C586" s="56" t="s">
        <v>1562</v>
      </c>
      <c r="D586" s="56" t="s">
        <v>1562</v>
      </c>
      <c r="E586" s="57" t="s">
        <v>92</v>
      </c>
      <c r="F586" s="56" t="s">
        <v>93</v>
      </c>
      <c r="G586" s="57" t="s">
        <v>23</v>
      </c>
      <c r="H586" s="55" t="s">
        <v>179</v>
      </c>
      <c r="I586" s="57" t="s">
        <v>180</v>
      </c>
      <c r="J586" s="57" t="s">
        <v>507</v>
      </c>
      <c r="K586" s="57" t="s">
        <v>508</v>
      </c>
      <c r="L586" s="55" t="s">
        <v>36</v>
      </c>
      <c r="M586" s="58" t="s">
        <v>37</v>
      </c>
      <c r="N586" s="58" t="s">
        <v>90</v>
      </c>
      <c r="O586" s="58" t="s">
        <v>91</v>
      </c>
      <c r="P586" s="59"/>
      <c r="Q586" s="60"/>
      <c r="R586" s="60" t="s">
        <v>31</v>
      </c>
      <c r="S586" s="61">
        <v>45498.680555555598</v>
      </c>
      <c r="T586" s="62" t="s">
        <v>96</v>
      </c>
      <c r="U586" s="63">
        <v>45588.680555555598</v>
      </c>
      <c r="V586" s="64">
        <v>-64</v>
      </c>
    </row>
    <row r="587" spans="1:22" ht="11.25" x14ac:dyDescent="0.2">
      <c r="A587" s="55">
        <v>307038</v>
      </c>
      <c r="B587" s="55" t="s">
        <v>1563</v>
      </c>
      <c r="C587" s="56" t="s">
        <v>1564</v>
      </c>
      <c r="D587" s="56" t="s">
        <v>1564</v>
      </c>
      <c r="E587" s="57" t="s">
        <v>86</v>
      </c>
      <c r="F587" s="56" t="s">
        <v>87</v>
      </c>
      <c r="G587" s="57" t="s">
        <v>23</v>
      </c>
      <c r="H587" s="55" t="s">
        <v>22</v>
      </c>
      <c r="I587" s="57" t="s">
        <v>24</v>
      </c>
      <c r="J587" s="57" t="s">
        <v>509</v>
      </c>
      <c r="K587" s="57" t="s">
        <v>510</v>
      </c>
      <c r="L587" s="55" t="s">
        <v>36</v>
      </c>
      <c r="M587" s="58" t="s">
        <v>37</v>
      </c>
      <c r="N587" s="58" t="s">
        <v>29</v>
      </c>
      <c r="O587" s="58" t="s">
        <v>30</v>
      </c>
      <c r="P587" s="59"/>
      <c r="Q587" s="60"/>
      <c r="R587" s="60" t="s">
        <v>31</v>
      </c>
      <c r="S587" s="61">
        <v>45495.5090277778</v>
      </c>
      <c r="T587" s="62" t="s">
        <v>85</v>
      </c>
      <c r="U587" s="63">
        <v>45600.632638888899</v>
      </c>
      <c r="V587" s="64">
        <v>-76</v>
      </c>
    </row>
    <row r="588" spans="1:22" ht="11.25" x14ac:dyDescent="0.2">
      <c r="A588" s="55">
        <v>307039</v>
      </c>
      <c r="B588" s="55" t="s">
        <v>1565</v>
      </c>
      <c r="C588" s="56" t="s">
        <v>1566</v>
      </c>
      <c r="D588" s="56" t="s">
        <v>1566</v>
      </c>
      <c r="E588" s="57" t="s">
        <v>86</v>
      </c>
      <c r="F588" s="56" t="s">
        <v>87</v>
      </c>
      <c r="G588" s="57" t="s">
        <v>23</v>
      </c>
      <c r="H588" s="55" t="s">
        <v>22</v>
      </c>
      <c r="I588" s="57" t="s">
        <v>24</v>
      </c>
      <c r="J588" s="57" t="s">
        <v>509</v>
      </c>
      <c r="K588" s="57" t="s">
        <v>510</v>
      </c>
      <c r="L588" s="55" t="s">
        <v>36</v>
      </c>
      <c r="M588" s="58" t="s">
        <v>37</v>
      </c>
      <c r="N588" s="58" t="s">
        <v>29</v>
      </c>
      <c r="O588" s="58" t="s">
        <v>30</v>
      </c>
      <c r="P588" s="59"/>
      <c r="Q588" s="60"/>
      <c r="R588" s="60" t="s">
        <v>31</v>
      </c>
      <c r="S588" s="61">
        <v>45495.529166666704</v>
      </c>
      <c r="T588" s="62" t="s">
        <v>85</v>
      </c>
      <c r="U588" s="63">
        <v>45600.632638888899</v>
      </c>
      <c r="V588" s="64">
        <v>-76</v>
      </c>
    </row>
    <row r="589" spans="1:22" ht="11.25" x14ac:dyDescent="0.2">
      <c r="A589" s="55">
        <v>307040</v>
      </c>
      <c r="B589" s="55" t="s">
        <v>1567</v>
      </c>
      <c r="C589" s="56" t="s">
        <v>1568</v>
      </c>
      <c r="D589" s="56" t="s">
        <v>1568</v>
      </c>
      <c r="E589" s="57" t="s">
        <v>86</v>
      </c>
      <c r="F589" s="56" t="s">
        <v>87</v>
      </c>
      <c r="G589" s="57" t="s">
        <v>23</v>
      </c>
      <c r="H589" s="55" t="s">
        <v>1569</v>
      </c>
      <c r="I589" s="57" t="s">
        <v>1570</v>
      </c>
      <c r="J589" s="57" t="s">
        <v>509</v>
      </c>
      <c r="K589" s="57" t="s">
        <v>510</v>
      </c>
      <c r="L589" s="55" t="s">
        <v>36</v>
      </c>
      <c r="M589" s="58" t="s">
        <v>37</v>
      </c>
      <c r="N589" s="58" t="s">
        <v>57</v>
      </c>
      <c r="O589" s="58" t="s">
        <v>58</v>
      </c>
      <c r="P589" s="59"/>
      <c r="Q589" s="60"/>
      <c r="R589" s="60" t="s">
        <v>31</v>
      </c>
      <c r="S589" s="61">
        <v>45495.536111111098</v>
      </c>
      <c r="T589" s="62" t="s">
        <v>85</v>
      </c>
      <c r="U589" s="63">
        <v>45600.632638888899</v>
      </c>
      <c r="V589" s="64">
        <v>-76</v>
      </c>
    </row>
    <row r="590" spans="1:22" ht="11.25" x14ac:dyDescent="0.2">
      <c r="A590" s="55">
        <v>307041</v>
      </c>
      <c r="B590" s="55" t="s">
        <v>1571</v>
      </c>
      <c r="C590" s="56" t="s">
        <v>1572</v>
      </c>
      <c r="D590" s="56" t="s">
        <v>1572</v>
      </c>
      <c r="E590" s="57" t="s">
        <v>673</v>
      </c>
      <c r="F590" s="56" t="s">
        <v>674</v>
      </c>
      <c r="G590" s="57" t="s">
        <v>23</v>
      </c>
      <c r="H590" s="55" t="s">
        <v>179</v>
      </c>
      <c r="I590" s="57" t="s">
        <v>180</v>
      </c>
      <c r="J590" s="57" t="s">
        <v>226</v>
      </c>
      <c r="K590" s="57" t="s">
        <v>227</v>
      </c>
      <c r="L590" s="55" t="s">
        <v>36</v>
      </c>
      <c r="M590" s="58" t="s">
        <v>37</v>
      </c>
      <c r="N590" s="58" t="s">
        <v>57</v>
      </c>
      <c r="O590" s="58" t="s">
        <v>58</v>
      </c>
      <c r="P590" s="59"/>
      <c r="Q590" s="60"/>
      <c r="R590" s="60" t="s">
        <v>31</v>
      </c>
      <c r="S590" s="61">
        <v>45498.710416666698</v>
      </c>
      <c r="T590" s="62" t="s">
        <v>85</v>
      </c>
      <c r="U590" s="63">
        <v>45588.710416666698</v>
      </c>
      <c r="V590" s="64">
        <v>-64</v>
      </c>
    </row>
    <row r="591" spans="1:22" ht="11.25" x14ac:dyDescent="0.2">
      <c r="A591" s="55">
        <v>307042</v>
      </c>
      <c r="B591" s="55" t="s">
        <v>1573</v>
      </c>
      <c r="C591" s="56" t="s">
        <v>1574</v>
      </c>
      <c r="D591" s="56" t="s">
        <v>1574</v>
      </c>
      <c r="E591" s="57" t="s">
        <v>86</v>
      </c>
      <c r="F591" s="56" t="s">
        <v>87</v>
      </c>
      <c r="G591" s="57" t="s">
        <v>23</v>
      </c>
      <c r="H591" s="55" t="s">
        <v>22</v>
      </c>
      <c r="I591" s="57" t="s">
        <v>24</v>
      </c>
      <c r="J591" s="57" t="s">
        <v>509</v>
      </c>
      <c r="K591" s="57" t="s">
        <v>510</v>
      </c>
      <c r="L591" s="55" t="s">
        <v>36</v>
      </c>
      <c r="M591" s="58" t="s">
        <v>37</v>
      </c>
      <c r="N591" s="58" t="s">
        <v>83</v>
      </c>
      <c r="O591" s="58" t="s">
        <v>84</v>
      </c>
      <c r="P591" s="59"/>
      <c r="Q591" s="60"/>
      <c r="R591" s="60" t="s">
        <v>31</v>
      </c>
      <c r="S591" s="61">
        <v>45496.356249999997</v>
      </c>
      <c r="T591" s="62" t="s">
        <v>85</v>
      </c>
      <c r="U591" s="63">
        <v>45600.632638888899</v>
      </c>
      <c r="V591" s="64">
        <v>-76</v>
      </c>
    </row>
    <row r="592" spans="1:22" ht="11.25" x14ac:dyDescent="0.2">
      <c r="A592" s="55">
        <v>307043</v>
      </c>
      <c r="B592" s="55" t="s">
        <v>1575</v>
      </c>
      <c r="C592" s="56" t="s">
        <v>1576</v>
      </c>
      <c r="D592" s="56" t="s">
        <v>1576</v>
      </c>
      <c r="E592" s="57" t="s">
        <v>86</v>
      </c>
      <c r="F592" s="56" t="s">
        <v>87</v>
      </c>
      <c r="G592" s="57" t="s">
        <v>23</v>
      </c>
      <c r="H592" s="55" t="s">
        <v>22</v>
      </c>
      <c r="I592" s="57" t="s">
        <v>24</v>
      </c>
      <c r="J592" s="57" t="s">
        <v>509</v>
      </c>
      <c r="K592" s="57" t="s">
        <v>510</v>
      </c>
      <c r="L592" s="55" t="s">
        <v>36</v>
      </c>
      <c r="M592" s="58" t="s">
        <v>37</v>
      </c>
      <c r="N592" s="58" t="s">
        <v>83</v>
      </c>
      <c r="O592" s="58" t="s">
        <v>84</v>
      </c>
      <c r="P592" s="59"/>
      <c r="Q592" s="60"/>
      <c r="R592" s="60" t="s">
        <v>31</v>
      </c>
      <c r="S592" s="61">
        <v>45496.276388888902</v>
      </c>
      <c r="T592" s="62" t="s">
        <v>85</v>
      </c>
      <c r="U592" s="63">
        <v>45600.632638888899</v>
      </c>
      <c r="V592" s="64">
        <v>-76</v>
      </c>
    </row>
    <row r="593" spans="1:22" ht="11.25" x14ac:dyDescent="0.2">
      <c r="A593" s="55">
        <v>307044</v>
      </c>
      <c r="B593" s="55" t="s">
        <v>1577</v>
      </c>
      <c r="C593" s="56" t="s">
        <v>1578</v>
      </c>
      <c r="D593" s="56" t="s">
        <v>1578</v>
      </c>
      <c r="E593" s="57" t="s">
        <v>86</v>
      </c>
      <c r="F593" s="56" t="s">
        <v>87</v>
      </c>
      <c r="G593" s="57" t="s">
        <v>23</v>
      </c>
      <c r="H593" s="55" t="s">
        <v>22</v>
      </c>
      <c r="I593" s="57" t="s">
        <v>24</v>
      </c>
      <c r="J593" s="57" t="s">
        <v>509</v>
      </c>
      <c r="K593" s="57" t="s">
        <v>510</v>
      </c>
      <c r="L593" s="55" t="s">
        <v>36</v>
      </c>
      <c r="M593" s="58" t="s">
        <v>37</v>
      </c>
      <c r="N593" s="58" t="s">
        <v>29</v>
      </c>
      <c r="O593" s="58" t="s">
        <v>30</v>
      </c>
      <c r="P593" s="59"/>
      <c r="Q593" s="60"/>
      <c r="R593" s="60" t="s">
        <v>31</v>
      </c>
      <c r="S593" s="61">
        <v>45496.288888888899</v>
      </c>
      <c r="T593" s="62" t="s">
        <v>85</v>
      </c>
      <c r="U593" s="63">
        <v>45600.632638888899</v>
      </c>
      <c r="V593" s="64">
        <v>-76</v>
      </c>
    </row>
    <row r="594" spans="1:22" ht="11.25" x14ac:dyDescent="0.2">
      <c r="A594" s="55">
        <v>307048</v>
      </c>
      <c r="B594" s="55" t="s">
        <v>1579</v>
      </c>
      <c r="C594" s="56" t="s">
        <v>1580</v>
      </c>
      <c r="D594" s="56" t="s">
        <v>1580</v>
      </c>
      <c r="E594" s="57" t="s">
        <v>1489</v>
      </c>
      <c r="F594" s="56" t="s">
        <v>1490</v>
      </c>
      <c r="G594" s="57" t="s">
        <v>48</v>
      </c>
      <c r="H594" s="55" t="s">
        <v>179</v>
      </c>
      <c r="I594" s="57" t="s">
        <v>180</v>
      </c>
      <c r="J594" s="57" t="s">
        <v>1169</v>
      </c>
      <c r="K594" s="57" t="s">
        <v>1170</v>
      </c>
      <c r="L594" s="55" t="s">
        <v>36</v>
      </c>
      <c r="M594" s="58" t="s">
        <v>37</v>
      </c>
      <c r="N594" s="58" t="s">
        <v>57</v>
      </c>
      <c r="O594" s="58" t="s">
        <v>58</v>
      </c>
      <c r="P594" s="59"/>
      <c r="Q594" s="60"/>
      <c r="R594" s="60" t="s">
        <v>31</v>
      </c>
      <c r="S594" s="61">
        <v>45491.360416666699</v>
      </c>
      <c r="T594" s="62" t="s">
        <v>1581</v>
      </c>
      <c r="U594" s="63">
        <v>45581.360416666699</v>
      </c>
      <c r="V594" s="64">
        <v>-57</v>
      </c>
    </row>
    <row r="595" spans="1:22" ht="11.25" x14ac:dyDescent="0.2">
      <c r="A595" s="55">
        <v>307049</v>
      </c>
      <c r="B595" s="55" t="s">
        <v>1582</v>
      </c>
      <c r="C595" s="56" t="s">
        <v>1583</v>
      </c>
      <c r="D595" s="56" t="s">
        <v>1583</v>
      </c>
      <c r="E595" s="57" t="s">
        <v>1584</v>
      </c>
      <c r="F595" s="56" t="s">
        <v>1585</v>
      </c>
      <c r="G595" s="57" t="s">
        <v>33</v>
      </c>
      <c r="H595" s="55" t="s">
        <v>179</v>
      </c>
      <c r="I595" s="57" t="s">
        <v>180</v>
      </c>
      <c r="J595" s="57" t="s">
        <v>1169</v>
      </c>
      <c r="K595" s="57" t="s">
        <v>1170</v>
      </c>
      <c r="L595" s="55" t="s">
        <v>36</v>
      </c>
      <c r="M595" s="58" t="s">
        <v>37</v>
      </c>
      <c r="N595" s="58" t="s">
        <v>57</v>
      </c>
      <c r="O595" s="58" t="s">
        <v>58</v>
      </c>
      <c r="P595" s="59"/>
      <c r="Q595" s="60"/>
      <c r="R595" s="60" t="s">
        <v>31</v>
      </c>
      <c r="S595" s="61">
        <v>45509.360416666699</v>
      </c>
      <c r="T595" s="62" t="s">
        <v>167</v>
      </c>
      <c r="U595" s="63">
        <v>45599.360416666699</v>
      </c>
      <c r="V595" s="64">
        <v>-75</v>
      </c>
    </row>
    <row r="596" spans="1:22" ht="11.25" x14ac:dyDescent="0.2">
      <c r="A596" s="55">
        <v>307052</v>
      </c>
      <c r="B596" s="55" t="s">
        <v>1586</v>
      </c>
      <c r="C596" s="56" t="s">
        <v>1587</v>
      </c>
      <c r="D596" s="56" t="s">
        <v>1587</v>
      </c>
      <c r="E596" s="57" t="s">
        <v>1202</v>
      </c>
      <c r="F596" s="56" t="s">
        <v>1203</v>
      </c>
      <c r="G596" s="57" t="s">
        <v>33</v>
      </c>
      <c r="H596" s="55" t="s">
        <v>179</v>
      </c>
      <c r="I596" s="57" t="s">
        <v>180</v>
      </c>
      <c r="J596" s="57" t="s">
        <v>1588</v>
      </c>
      <c r="K596" s="57" t="s">
        <v>1588</v>
      </c>
      <c r="L596" s="55" t="s">
        <v>36</v>
      </c>
      <c r="M596" s="58" t="s">
        <v>37</v>
      </c>
      <c r="N596" s="58" t="s">
        <v>76</v>
      </c>
      <c r="O596" s="58" t="s">
        <v>77</v>
      </c>
      <c r="P596" s="59"/>
      <c r="Q596" s="60"/>
      <c r="R596" s="60" t="s">
        <v>31</v>
      </c>
      <c r="S596" s="61">
        <v>45505.505555555603</v>
      </c>
      <c r="T596" s="62" t="s">
        <v>969</v>
      </c>
      <c r="U596" s="63">
        <v>45595.505555555603</v>
      </c>
      <c r="V596" s="64">
        <v>-71</v>
      </c>
    </row>
    <row r="597" spans="1:22" ht="11.25" x14ac:dyDescent="0.2">
      <c r="A597" s="55">
        <v>307053</v>
      </c>
      <c r="B597" s="55" t="s">
        <v>1589</v>
      </c>
      <c r="C597" s="56" t="s">
        <v>1590</v>
      </c>
      <c r="D597" s="56" t="s">
        <v>1591</v>
      </c>
      <c r="E597" s="57" t="s">
        <v>574</v>
      </c>
      <c r="F597" s="56" t="s">
        <v>575</v>
      </c>
      <c r="G597" s="57" t="s">
        <v>222</v>
      </c>
      <c r="H597" s="55" t="s">
        <v>34</v>
      </c>
      <c r="I597" s="57" t="s">
        <v>35</v>
      </c>
      <c r="J597" s="57" t="s">
        <v>1217</v>
      </c>
      <c r="K597" s="57" t="s">
        <v>992</v>
      </c>
      <c r="L597" s="55" t="s">
        <v>237</v>
      </c>
      <c r="M597" s="58" t="s">
        <v>238</v>
      </c>
      <c r="N597" s="58" t="s">
        <v>83</v>
      </c>
      <c r="O597" s="58" t="s">
        <v>84</v>
      </c>
      <c r="P597" s="59"/>
      <c r="Q597" s="60"/>
      <c r="R597" s="60" t="s">
        <v>40</v>
      </c>
      <c r="S597" s="61">
        <v>45509.6875</v>
      </c>
      <c r="T597" s="62"/>
      <c r="U597" s="63">
        <v>45510.686805555597</v>
      </c>
      <c r="V597" s="64">
        <v>14</v>
      </c>
    </row>
    <row r="598" spans="1:22" ht="11.25" x14ac:dyDescent="0.2">
      <c r="A598" s="55">
        <v>307054</v>
      </c>
      <c r="B598" s="55" t="s">
        <v>1592</v>
      </c>
      <c r="C598" s="56" t="s">
        <v>1593</v>
      </c>
      <c r="D598" s="56" t="s">
        <v>1593</v>
      </c>
      <c r="E598" s="57" t="s">
        <v>574</v>
      </c>
      <c r="F598" s="56" t="s">
        <v>575</v>
      </c>
      <c r="G598" s="57" t="s">
        <v>222</v>
      </c>
      <c r="H598" s="55" t="s">
        <v>34</v>
      </c>
      <c r="I598" s="57" t="s">
        <v>35</v>
      </c>
      <c r="J598" s="57" t="s">
        <v>1217</v>
      </c>
      <c r="K598" s="57" t="s">
        <v>992</v>
      </c>
      <c r="L598" s="55" t="s">
        <v>237</v>
      </c>
      <c r="M598" s="58" t="s">
        <v>238</v>
      </c>
      <c r="N598" s="58" t="s">
        <v>90</v>
      </c>
      <c r="O598" s="58" t="s">
        <v>91</v>
      </c>
      <c r="P598" s="59">
        <v>45511.343055555597</v>
      </c>
      <c r="Q598" s="60"/>
      <c r="R598" s="60" t="s">
        <v>40</v>
      </c>
      <c r="S598" s="61">
        <v>45510.342361111099</v>
      </c>
      <c r="T598" s="62"/>
      <c r="U598" s="63">
        <v>45511.342361111099</v>
      </c>
      <c r="V598" s="64">
        <v>13</v>
      </c>
    </row>
    <row r="599" spans="1:22" ht="11.25" x14ac:dyDescent="0.2">
      <c r="A599" s="55">
        <v>307055</v>
      </c>
      <c r="B599" s="55" t="s">
        <v>1594</v>
      </c>
      <c r="C599" s="56" t="s">
        <v>1595</v>
      </c>
      <c r="D599" s="56" t="s">
        <v>1595</v>
      </c>
      <c r="E599" s="57" t="s">
        <v>574</v>
      </c>
      <c r="F599" s="56" t="s">
        <v>575</v>
      </c>
      <c r="G599" s="57" t="s">
        <v>222</v>
      </c>
      <c r="H599" s="55" t="s">
        <v>34</v>
      </c>
      <c r="I599" s="57" t="s">
        <v>35</v>
      </c>
      <c r="J599" s="57" t="s">
        <v>576</v>
      </c>
      <c r="K599" s="57" t="s">
        <v>577</v>
      </c>
      <c r="L599" s="55" t="s">
        <v>237</v>
      </c>
      <c r="M599" s="58" t="s">
        <v>238</v>
      </c>
      <c r="N599" s="58" t="s">
        <v>83</v>
      </c>
      <c r="O599" s="58" t="s">
        <v>84</v>
      </c>
      <c r="P599" s="59">
        <v>45512.333333333299</v>
      </c>
      <c r="Q599" s="60"/>
      <c r="R599" s="60" t="s">
        <v>40</v>
      </c>
      <c r="S599" s="61">
        <v>45511.5</v>
      </c>
      <c r="T599" s="62"/>
      <c r="U599" s="63">
        <v>45511.659722222197</v>
      </c>
      <c r="V599" s="64">
        <v>13</v>
      </c>
    </row>
    <row r="600" spans="1:22" ht="11.25" x14ac:dyDescent="0.2">
      <c r="A600" s="55">
        <v>307056</v>
      </c>
      <c r="B600" s="55" t="s">
        <v>1596</v>
      </c>
      <c r="C600" s="56" t="s">
        <v>1597</v>
      </c>
      <c r="D600" s="56" t="s">
        <v>1598</v>
      </c>
      <c r="E600" s="57" t="s">
        <v>1599</v>
      </c>
      <c r="F600" s="56" t="s">
        <v>1600</v>
      </c>
      <c r="G600" s="57" t="s">
        <v>33</v>
      </c>
      <c r="H600" s="55" t="s">
        <v>179</v>
      </c>
      <c r="I600" s="57" t="s">
        <v>180</v>
      </c>
      <c r="J600" s="57" t="s">
        <v>1601</v>
      </c>
      <c r="K600" s="57" t="s">
        <v>1602</v>
      </c>
      <c r="L600" s="55" t="s">
        <v>36</v>
      </c>
      <c r="M600" s="58" t="s">
        <v>37</v>
      </c>
      <c r="N600" s="58" t="s">
        <v>38</v>
      </c>
      <c r="O600" s="58" t="s">
        <v>39</v>
      </c>
      <c r="P600" s="59"/>
      <c r="Q600" s="60"/>
      <c r="R600" s="60" t="s">
        <v>31</v>
      </c>
      <c r="S600" s="61">
        <v>45511.609722222202</v>
      </c>
      <c r="T600" s="62"/>
      <c r="U600" s="63">
        <v>45601.679861111101</v>
      </c>
      <c r="V600" s="64">
        <v>-77</v>
      </c>
    </row>
    <row r="601" spans="1:22" ht="11.25" x14ac:dyDescent="0.2">
      <c r="A601" s="55">
        <v>307058</v>
      </c>
      <c r="B601" s="55" t="s">
        <v>1603</v>
      </c>
      <c r="C601" s="56" t="s">
        <v>1604</v>
      </c>
      <c r="D601" s="56" t="s">
        <v>1605</v>
      </c>
      <c r="E601" s="57" t="s">
        <v>1606</v>
      </c>
      <c r="F601" s="56" t="s">
        <v>1607</v>
      </c>
      <c r="G601" s="57" t="s">
        <v>33</v>
      </c>
      <c r="H601" s="55" t="s">
        <v>34</v>
      </c>
      <c r="I601" s="57" t="s">
        <v>35</v>
      </c>
      <c r="J601" s="57" t="s">
        <v>1608</v>
      </c>
      <c r="K601" s="57" t="s">
        <v>1609</v>
      </c>
      <c r="L601" s="55" t="s">
        <v>36</v>
      </c>
      <c r="M601" s="58" t="s">
        <v>37</v>
      </c>
      <c r="N601" s="58" t="s">
        <v>76</v>
      </c>
      <c r="O601" s="58" t="s">
        <v>77</v>
      </c>
      <c r="P601" s="59"/>
      <c r="Q601" s="60"/>
      <c r="R601" s="60" t="s">
        <v>31</v>
      </c>
      <c r="S601" s="61">
        <v>45356.383333333302</v>
      </c>
      <c r="T601" s="62"/>
      <c r="U601" s="63">
        <v>45602.379861111098</v>
      </c>
      <c r="V601" s="64">
        <v>-78</v>
      </c>
    </row>
    <row r="602" spans="1:22" ht="11.25" x14ac:dyDescent="0.2">
      <c r="A602" s="55">
        <v>307065</v>
      </c>
      <c r="B602" s="55" t="s">
        <v>1610</v>
      </c>
      <c r="C602" s="56" t="s">
        <v>1611</v>
      </c>
      <c r="D602" s="56" t="s">
        <v>1612</v>
      </c>
      <c r="E602" s="57" t="s">
        <v>105</v>
      </c>
      <c r="F602" s="56" t="s">
        <v>106</v>
      </c>
      <c r="G602" s="57" t="s">
        <v>23</v>
      </c>
      <c r="H602" s="55" t="s">
        <v>179</v>
      </c>
      <c r="I602" s="57" t="s">
        <v>180</v>
      </c>
      <c r="J602" s="57" t="s">
        <v>107</v>
      </c>
      <c r="K602" s="57" t="s">
        <v>108</v>
      </c>
      <c r="L602" s="55" t="s">
        <v>36</v>
      </c>
      <c r="M602" s="58" t="s">
        <v>37</v>
      </c>
      <c r="N602" s="58" t="s">
        <v>57</v>
      </c>
      <c r="O602" s="58" t="s">
        <v>58</v>
      </c>
      <c r="P602" s="59"/>
      <c r="Q602" s="60"/>
      <c r="R602" s="60" t="s">
        <v>31</v>
      </c>
      <c r="S602" s="61">
        <v>45511.510416666701</v>
      </c>
      <c r="T602" s="62"/>
      <c r="U602" s="63">
        <v>45602.554166666698</v>
      </c>
      <c r="V602" s="64">
        <v>-78</v>
      </c>
    </row>
    <row r="603" spans="1:22" ht="11.25" x14ac:dyDescent="0.2">
      <c r="A603" s="55">
        <v>307066</v>
      </c>
      <c r="B603" s="55" t="s">
        <v>1613</v>
      </c>
      <c r="C603" s="56" t="s">
        <v>1614</v>
      </c>
      <c r="D603" s="56" t="s">
        <v>1615</v>
      </c>
      <c r="E603" s="57" t="s">
        <v>574</v>
      </c>
      <c r="F603" s="56" t="s">
        <v>575</v>
      </c>
      <c r="G603" s="57" t="s">
        <v>222</v>
      </c>
      <c r="H603" s="55" t="s">
        <v>34</v>
      </c>
      <c r="I603" s="57" t="s">
        <v>35</v>
      </c>
      <c r="J603" s="57" t="s">
        <v>1616</v>
      </c>
      <c r="K603" s="57" t="s">
        <v>1617</v>
      </c>
      <c r="L603" s="55" t="s">
        <v>27</v>
      </c>
      <c r="M603" s="58" t="s">
        <v>28</v>
      </c>
      <c r="N603" s="58" t="s">
        <v>29</v>
      </c>
      <c r="O603" s="58" t="s">
        <v>30</v>
      </c>
      <c r="P603" s="59">
        <v>45513.5715277778</v>
      </c>
      <c r="Q603" s="60"/>
      <c r="R603" s="60" t="s">
        <v>40</v>
      </c>
      <c r="S603" s="61">
        <v>45511.570138888899</v>
      </c>
      <c r="T603" s="62"/>
      <c r="U603" s="63">
        <v>45512.568055555603</v>
      </c>
      <c r="V603" s="64">
        <v>12</v>
      </c>
    </row>
    <row r="604" spans="1:22" ht="11.25" x14ac:dyDescent="0.2">
      <c r="A604" s="55">
        <v>307067</v>
      </c>
      <c r="B604" s="55" t="s">
        <v>1618</v>
      </c>
      <c r="C604" s="56" t="s">
        <v>1619</v>
      </c>
      <c r="D604" s="56" t="s">
        <v>1620</v>
      </c>
      <c r="E604" s="57" t="s">
        <v>136</v>
      </c>
      <c r="F604" s="56" t="s">
        <v>137</v>
      </c>
      <c r="G604" s="57" t="s">
        <v>23</v>
      </c>
      <c r="H604" s="55" t="s">
        <v>179</v>
      </c>
      <c r="I604" s="57" t="s">
        <v>180</v>
      </c>
      <c r="J604" s="57" t="s">
        <v>226</v>
      </c>
      <c r="K604" s="57" t="s">
        <v>227</v>
      </c>
      <c r="L604" s="55" t="s">
        <v>36</v>
      </c>
      <c r="M604" s="58" t="s">
        <v>37</v>
      </c>
      <c r="N604" s="58" t="s">
        <v>29</v>
      </c>
      <c r="O604" s="58" t="s">
        <v>30</v>
      </c>
      <c r="P604" s="59"/>
      <c r="Q604" s="60"/>
      <c r="R604" s="60" t="s">
        <v>31</v>
      </c>
      <c r="S604" s="61">
        <v>45506.338194444397</v>
      </c>
      <c r="T604" s="62"/>
      <c r="U604" s="63">
        <v>45602.629861111098</v>
      </c>
      <c r="V604" s="64">
        <v>-78</v>
      </c>
    </row>
    <row r="605" spans="1:22" ht="11.25" x14ac:dyDescent="0.2">
      <c r="A605" s="55">
        <v>307072</v>
      </c>
      <c r="B605" s="55" t="s">
        <v>1621</v>
      </c>
      <c r="C605" s="56" t="s">
        <v>1622</v>
      </c>
      <c r="D605" s="56" t="s">
        <v>1623</v>
      </c>
      <c r="E605" s="57" t="s">
        <v>92</v>
      </c>
      <c r="F605" s="56" t="s">
        <v>93</v>
      </c>
      <c r="G605" s="57" t="s">
        <v>23</v>
      </c>
      <c r="H605" s="55" t="s">
        <v>179</v>
      </c>
      <c r="I605" s="57" t="s">
        <v>180</v>
      </c>
      <c r="J605" s="57" t="s">
        <v>66</v>
      </c>
      <c r="K605" s="57" t="s">
        <v>67</v>
      </c>
      <c r="L605" s="55" t="s">
        <v>36</v>
      </c>
      <c r="M605" s="58" t="s">
        <v>37</v>
      </c>
      <c r="N605" s="58" t="s">
        <v>76</v>
      </c>
      <c r="O605" s="58" t="s">
        <v>77</v>
      </c>
      <c r="P605" s="59"/>
      <c r="Q605" s="60"/>
      <c r="R605" s="60" t="s">
        <v>31</v>
      </c>
      <c r="S605" s="61">
        <v>45513.559722222199</v>
      </c>
      <c r="T605" s="62"/>
      <c r="U605" s="63">
        <v>45604.504166666702</v>
      </c>
      <c r="V605" s="64">
        <v>-80</v>
      </c>
    </row>
    <row r="606" spans="1:22" ht="11.25" x14ac:dyDescent="0.2">
      <c r="A606" s="55">
        <v>307073</v>
      </c>
      <c r="B606" s="55" t="s">
        <v>1624</v>
      </c>
      <c r="C606" s="56" t="s">
        <v>1625</v>
      </c>
      <c r="D606" s="56" t="s">
        <v>1626</v>
      </c>
      <c r="E606" s="57" t="s">
        <v>261</v>
      </c>
      <c r="F606" s="56" t="s">
        <v>262</v>
      </c>
      <c r="G606" s="57" t="s">
        <v>33</v>
      </c>
      <c r="H606" s="55" t="s">
        <v>34</v>
      </c>
      <c r="I606" s="57" t="s">
        <v>35</v>
      </c>
      <c r="J606" s="57" t="s">
        <v>1627</v>
      </c>
      <c r="K606" s="57" t="s">
        <v>1628</v>
      </c>
      <c r="L606" s="55" t="s">
        <v>36</v>
      </c>
      <c r="M606" s="58" t="s">
        <v>37</v>
      </c>
      <c r="N606" s="58" t="s">
        <v>76</v>
      </c>
      <c r="O606" s="58" t="s">
        <v>77</v>
      </c>
      <c r="P606" s="59">
        <v>45520.514583333301</v>
      </c>
      <c r="Q606" s="60"/>
      <c r="R606" s="60" t="s">
        <v>31</v>
      </c>
      <c r="S606" s="61">
        <v>45513.6027777778</v>
      </c>
      <c r="T606" s="62"/>
      <c r="U606" s="63">
        <v>45604.5131944444</v>
      </c>
      <c r="V606" s="64">
        <v>-80</v>
      </c>
    </row>
    <row r="607" spans="1:22" ht="11.25" x14ac:dyDescent="0.2">
      <c r="A607" s="55">
        <v>307074</v>
      </c>
      <c r="B607" s="55" t="s">
        <v>1629</v>
      </c>
      <c r="C607" s="56" t="s">
        <v>1630</v>
      </c>
      <c r="D607" s="56" t="s">
        <v>1631</v>
      </c>
      <c r="E607" s="57" t="s">
        <v>1632</v>
      </c>
      <c r="F607" s="56" t="s">
        <v>1633</v>
      </c>
      <c r="G607" s="57" t="s">
        <v>33</v>
      </c>
      <c r="H607" s="55" t="s">
        <v>34</v>
      </c>
      <c r="I607" s="57" t="s">
        <v>35</v>
      </c>
      <c r="J607" s="57" t="s">
        <v>66</v>
      </c>
      <c r="K607" s="57" t="s">
        <v>67</v>
      </c>
      <c r="L607" s="55" t="s">
        <v>36</v>
      </c>
      <c r="M607" s="58" t="s">
        <v>37</v>
      </c>
      <c r="N607" s="58" t="s">
        <v>57</v>
      </c>
      <c r="O607" s="58" t="s">
        <v>58</v>
      </c>
      <c r="P607" s="59">
        <v>45516.671527777798</v>
      </c>
      <c r="Q607" s="60"/>
      <c r="R607" s="60" t="s">
        <v>31</v>
      </c>
      <c r="S607" s="61">
        <v>45513.626388888901</v>
      </c>
      <c r="T607" s="62"/>
      <c r="U607" s="63">
        <v>45606.372916666704</v>
      </c>
      <c r="V607" s="64">
        <v>-82</v>
      </c>
    </row>
    <row r="608" spans="1:22" ht="11.25" x14ac:dyDescent="0.2">
      <c r="A608" s="55">
        <v>307076</v>
      </c>
      <c r="B608" s="55" t="s">
        <v>1634</v>
      </c>
      <c r="C608" s="56" t="s">
        <v>1635</v>
      </c>
      <c r="D608" s="56" t="s">
        <v>1636</v>
      </c>
      <c r="E608" s="57" t="s">
        <v>207</v>
      </c>
      <c r="F608" s="56" t="s">
        <v>208</v>
      </c>
      <c r="G608" s="57" t="s">
        <v>23</v>
      </c>
      <c r="H608" s="55" t="s">
        <v>34</v>
      </c>
      <c r="I608" s="57" t="s">
        <v>35</v>
      </c>
      <c r="J608" s="57" t="s">
        <v>866</v>
      </c>
      <c r="K608" s="57" t="s">
        <v>867</v>
      </c>
      <c r="L608" s="55" t="s">
        <v>36</v>
      </c>
      <c r="M608" s="58" t="s">
        <v>37</v>
      </c>
      <c r="N608" s="58" t="s">
        <v>76</v>
      </c>
      <c r="O608" s="58" t="s">
        <v>77</v>
      </c>
      <c r="P608" s="59">
        <v>45516.520138888904</v>
      </c>
      <c r="Q608" s="60"/>
      <c r="R608" s="60" t="s">
        <v>31</v>
      </c>
      <c r="S608" s="61">
        <v>45516.474999999999</v>
      </c>
      <c r="T608" s="62"/>
      <c r="U608" s="63">
        <v>45606.519444444399</v>
      </c>
      <c r="V608" s="64">
        <v>-82</v>
      </c>
    </row>
    <row r="609" spans="1:22" ht="11.25" x14ac:dyDescent="0.2">
      <c r="A609" s="55">
        <v>307077</v>
      </c>
      <c r="B609" s="55" t="s">
        <v>1637</v>
      </c>
      <c r="C609" s="56" t="s">
        <v>1638</v>
      </c>
      <c r="D609" s="56" t="s">
        <v>1639</v>
      </c>
      <c r="E609" s="57" t="s">
        <v>688</v>
      </c>
      <c r="F609" s="56" t="s">
        <v>689</v>
      </c>
      <c r="G609" s="57" t="s">
        <v>33</v>
      </c>
      <c r="H609" s="55" t="s">
        <v>34</v>
      </c>
      <c r="I609" s="57" t="s">
        <v>35</v>
      </c>
      <c r="J609" s="57" t="s">
        <v>1640</v>
      </c>
      <c r="K609" s="57" t="s">
        <v>1641</v>
      </c>
      <c r="L609" s="55" t="s">
        <v>36</v>
      </c>
      <c r="M609" s="58" t="s">
        <v>37</v>
      </c>
      <c r="N609" s="58" t="s">
        <v>83</v>
      </c>
      <c r="O609" s="58" t="s">
        <v>84</v>
      </c>
      <c r="P609" s="59">
        <v>45516.529861111099</v>
      </c>
      <c r="Q609" s="60"/>
      <c r="R609" s="60" t="s">
        <v>31</v>
      </c>
      <c r="S609" s="61">
        <v>45516.479166666701</v>
      </c>
      <c r="T609" s="62"/>
      <c r="U609" s="63">
        <v>45606.527777777803</v>
      </c>
      <c r="V609" s="64">
        <v>-82</v>
      </c>
    </row>
    <row r="610" spans="1:22" ht="11.25" x14ac:dyDescent="0.2">
      <c r="A610" s="55">
        <v>307079</v>
      </c>
      <c r="B610" s="55" t="s">
        <v>1642</v>
      </c>
      <c r="C610" s="56" t="s">
        <v>1643</v>
      </c>
      <c r="D610" s="56" t="s">
        <v>1644</v>
      </c>
      <c r="E610" s="57" t="s">
        <v>1645</v>
      </c>
      <c r="F610" s="56" t="s">
        <v>1646</v>
      </c>
      <c r="G610" s="57" t="s">
        <v>33</v>
      </c>
      <c r="H610" s="55" t="s">
        <v>34</v>
      </c>
      <c r="I610" s="57" t="s">
        <v>35</v>
      </c>
      <c r="J610" s="57" t="s">
        <v>66</v>
      </c>
      <c r="K610" s="57" t="s">
        <v>67</v>
      </c>
      <c r="L610" s="55" t="s">
        <v>36</v>
      </c>
      <c r="M610" s="58" t="s">
        <v>37</v>
      </c>
      <c r="N610" s="58" t="s">
        <v>83</v>
      </c>
      <c r="O610" s="58" t="s">
        <v>84</v>
      </c>
      <c r="P610" s="59">
        <v>45518.566666666702</v>
      </c>
      <c r="Q610" s="60"/>
      <c r="R610" s="60" t="s">
        <v>31</v>
      </c>
      <c r="S610" s="61">
        <v>45513.629861111098</v>
      </c>
      <c r="T610" s="62"/>
      <c r="U610" s="63">
        <v>45606.563888888901</v>
      </c>
      <c r="V610" s="64">
        <v>-82</v>
      </c>
    </row>
    <row r="611" spans="1:22" ht="11.25" x14ac:dyDescent="0.2">
      <c r="A611" s="55">
        <v>307080</v>
      </c>
      <c r="B611" s="55" t="s">
        <v>1647</v>
      </c>
      <c r="C611" s="56" t="s">
        <v>1648</v>
      </c>
      <c r="D611" s="56" t="s">
        <v>1649</v>
      </c>
      <c r="E611" s="57" t="s">
        <v>1650</v>
      </c>
      <c r="F611" s="56" t="s">
        <v>1651</v>
      </c>
      <c r="G611" s="57" t="s">
        <v>33</v>
      </c>
      <c r="H611" s="55" t="s">
        <v>34</v>
      </c>
      <c r="I611" s="57" t="s">
        <v>35</v>
      </c>
      <c r="J611" s="57" t="s">
        <v>1169</v>
      </c>
      <c r="K611" s="57" t="s">
        <v>1170</v>
      </c>
      <c r="L611" s="55" t="s">
        <v>36</v>
      </c>
      <c r="M611" s="58" t="s">
        <v>37</v>
      </c>
      <c r="N611" s="58" t="s">
        <v>57</v>
      </c>
      <c r="O611" s="58" t="s">
        <v>58</v>
      </c>
      <c r="P611" s="59">
        <v>45517.333333333299</v>
      </c>
      <c r="Q611" s="60"/>
      <c r="R611" s="60" t="s">
        <v>31</v>
      </c>
      <c r="S611" s="61">
        <v>45516.557638888902</v>
      </c>
      <c r="T611" s="62"/>
      <c r="U611" s="63">
        <v>45606.695138888899</v>
      </c>
      <c r="V611" s="64">
        <v>-82</v>
      </c>
    </row>
    <row r="612" spans="1:22" ht="11.25" x14ac:dyDescent="0.2">
      <c r="A612" s="55">
        <v>307081</v>
      </c>
      <c r="B612" s="55" t="s">
        <v>1652</v>
      </c>
      <c r="C612" s="56" t="s">
        <v>1653</v>
      </c>
      <c r="D612" s="56" t="s">
        <v>1654</v>
      </c>
      <c r="E612" s="57" t="s">
        <v>105</v>
      </c>
      <c r="F612" s="56" t="s">
        <v>106</v>
      </c>
      <c r="G612" s="57" t="s">
        <v>23</v>
      </c>
      <c r="H612" s="55" t="s">
        <v>34</v>
      </c>
      <c r="I612" s="57" t="s">
        <v>35</v>
      </c>
      <c r="J612" s="57" t="s">
        <v>107</v>
      </c>
      <c r="K612" s="57" t="s">
        <v>108</v>
      </c>
      <c r="L612" s="55" t="s">
        <v>36</v>
      </c>
      <c r="M612" s="58" t="s">
        <v>37</v>
      </c>
      <c r="N612" s="58" t="s">
        <v>57</v>
      </c>
      <c r="O612" s="58" t="s">
        <v>58</v>
      </c>
      <c r="P612" s="59">
        <v>45519.545138888898</v>
      </c>
      <c r="Q612" s="60"/>
      <c r="R612" s="60" t="s">
        <v>31</v>
      </c>
      <c r="S612" s="61">
        <v>45517.421527777798</v>
      </c>
      <c r="T612" s="62"/>
      <c r="U612" s="63">
        <v>45607.531944444403</v>
      </c>
      <c r="V612" s="64">
        <v>-83</v>
      </c>
    </row>
    <row r="613" spans="1:22" ht="11.25" x14ac:dyDescent="0.2">
      <c r="A613" s="55">
        <v>307082</v>
      </c>
      <c r="B613" s="55" t="s">
        <v>1655</v>
      </c>
      <c r="C613" s="56" t="s">
        <v>1656</v>
      </c>
      <c r="D613" s="56" t="s">
        <v>1657</v>
      </c>
      <c r="E613" s="57" t="s">
        <v>159</v>
      </c>
      <c r="F613" s="56" t="s">
        <v>160</v>
      </c>
      <c r="G613" s="57" t="s">
        <v>23</v>
      </c>
      <c r="H613" s="55" t="s">
        <v>34</v>
      </c>
      <c r="I613" s="57" t="s">
        <v>35</v>
      </c>
      <c r="J613" s="57" t="s">
        <v>808</v>
      </c>
      <c r="K613" s="57" t="s">
        <v>809</v>
      </c>
      <c r="L613" s="55" t="s">
        <v>36</v>
      </c>
      <c r="M613" s="58" t="s">
        <v>37</v>
      </c>
      <c r="N613" s="58" t="s">
        <v>90</v>
      </c>
      <c r="O613" s="58" t="s">
        <v>91</v>
      </c>
      <c r="P613" s="59">
        <v>45519.333333333299</v>
      </c>
      <c r="Q613" s="60"/>
      <c r="R613" s="60" t="s">
        <v>31</v>
      </c>
      <c r="S613" s="61">
        <v>45518.3256944444</v>
      </c>
      <c r="T613" s="62"/>
      <c r="U613" s="63">
        <v>45608.431944444397</v>
      </c>
      <c r="V613" s="64">
        <v>-84</v>
      </c>
    </row>
    <row r="614" spans="1:22" ht="11.25" x14ac:dyDescent="0.2">
      <c r="A614" s="55">
        <v>307083</v>
      </c>
      <c r="B614" s="55" t="s">
        <v>1658</v>
      </c>
      <c r="C614" s="56" t="s">
        <v>1659</v>
      </c>
      <c r="D614" s="56" t="s">
        <v>1660</v>
      </c>
      <c r="E614" s="57" t="s">
        <v>187</v>
      </c>
      <c r="F614" s="56" t="s">
        <v>188</v>
      </c>
      <c r="G614" s="57" t="s">
        <v>23</v>
      </c>
      <c r="H614" s="55" t="s">
        <v>34</v>
      </c>
      <c r="I614" s="57" t="s">
        <v>35</v>
      </c>
      <c r="J614" s="57" t="s">
        <v>1661</v>
      </c>
      <c r="K614" s="57" t="s">
        <v>1662</v>
      </c>
      <c r="L614" s="55" t="s">
        <v>36</v>
      </c>
      <c r="M614" s="58" t="s">
        <v>37</v>
      </c>
      <c r="N614" s="58" t="s">
        <v>83</v>
      </c>
      <c r="O614" s="58" t="s">
        <v>84</v>
      </c>
      <c r="P614" s="59">
        <v>45519.333333333299</v>
      </c>
      <c r="Q614" s="60"/>
      <c r="R614" s="60" t="s">
        <v>31</v>
      </c>
      <c r="S614" s="61">
        <v>45517.404861111099</v>
      </c>
      <c r="T614" s="62"/>
      <c r="U614" s="63">
        <v>45608.4597222222</v>
      </c>
      <c r="V614" s="64">
        <v>-84</v>
      </c>
    </row>
    <row r="615" spans="1:22" ht="11.25" x14ac:dyDescent="0.2">
      <c r="A615" s="55">
        <v>307085</v>
      </c>
      <c r="B615" s="55" t="s">
        <v>1663</v>
      </c>
      <c r="C615" s="56" t="s">
        <v>1664</v>
      </c>
      <c r="D615" s="56" t="s">
        <v>1664</v>
      </c>
      <c r="E615" s="57" t="s">
        <v>574</v>
      </c>
      <c r="F615" s="56" t="s">
        <v>575</v>
      </c>
      <c r="G615" s="57" t="s">
        <v>222</v>
      </c>
      <c r="H615" s="55" t="s">
        <v>34</v>
      </c>
      <c r="I615" s="57" t="s">
        <v>35</v>
      </c>
      <c r="J615" s="57" t="s">
        <v>576</v>
      </c>
      <c r="K615" s="57" t="s">
        <v>577</v>
      </c>
      <c r="L615" s="55" t="s">
        <v>237</v>
      </c>
      <c r="M615" s="58" t="s">
        <v>238</v>
      </c>
      <c r="N615" s="58" t="s">
        <v>83</v>
      </c>
      <c r="O615" s="58" t="s">
        <v>84</v>
      </c>
      <c r="P615" s="59">
        <v>45519.663888888899</v>
      </c>
      <c r="Q615" s="60"/>
      <c r="R615" s="60" t="s">
        <v>31</v>
      </c>
      <c r="S615" s="61">
        <v>45518.625</v>
      </c>
      <c r="T615" s="62"/>
      <c r="U615" s="63">
        <v>45608.662499999999</v>
      </c>
      <c r="V615" s="64">
        <v>-84</v>
      </c>
    </row>
    <row r="616" spans="1:22" ht="11.25" x14ac:dyDescent="0.2">
      <c r="A616" s="55">
        <v>307087</v>
      </c>
      <c r="B616" s="55" t="s">
        <v>1665</v>
      </c>
      <c r="C616" s="56" t="s">
        <v>1666</v>
      </c>
      <c r="D616" s="56" t="s">
        <v>1667</v>
      </c>
      <c r="E616" s="57" t="s">
        <v>1668</v>
      </c>
      <c r="F616" s="56" t="s">
        <v>1669</v>
      </c>
      <c r="G616" s="57" t="s">
        <v>33</v>
      </c>
      <c r="H616" s="55" t="s">
        <v>34</v>
      </c>
      <c r="I616" s="57" t="s">
        <v>35</v>
      </c>
      <c r="J616" s="57" t="s">
        <v>66</v>
      </c>
      <c r="K616" s="57" t="s">
        <v>67</v>
      </c>
      <c r="L616" s="55" t="s">
        <v>36</v>
      </c>
      <c r="M616" s="58" t="s">
        <v>37</v>
      </c>
      <c r="N616" s="58" t="s">
        <v>29</v>
      </c>
      <c r="O616" s="58" t="s">
        <v>30</v>
      </c>
      <c r="P616" s="59">
        <v>45520.333333333299</v>
      </c>
      <c r="Q616" s="60"/>
      <c r="R616" s="60" t="s">
        <v>31</v>
      </c>
      <c r="S616" s="61">
        <v>45517.375694444403</v>
      </c>
      <c r="T616" s="62"/>
      <c r="U616" s="63">
        <v>45609.690277777801</v>
      </c>
      <c r="V616" s="64">
        <v>-85</v>
      </c>
    </row>
    <row r="617" spans="1:22" ht="11.25" x14ac:dyDescent="0.2">
      <c r="A617" s="55">
        <v>307088</v>
      </c>
      <c r="B617" s="55" t="s">
        <v>1670</v>
      </c>
      <c r="C617" s="56" t="s">
        <v>1671</v>
      </c>
      <c r="D617" s="56" t="s">
        <v>1671</v>
      </c>
      <c r="E617" s="57" t="s">
        <v>1007</v>
      </c>
      <c r="F617" s="56" t="s">
        <v>1008</v>
      </c>
      <c r="G617" s="57" t="s">
        <v>23</v>
      </c>
      <c r="H617" s="55" t="s">
        <v>179</v>
      </c>
      <c r="I617" s="57" t="s">
        <v>180</v>
      </c>
      <c r="J617" s="57" t="s">
        <v>121</v>
      </c>
      <c r="K617" s="57" t="s">
        <v>122</v>
      </c>
      <c r="L617" s="55" t="s">
        <v>36</v>
      </c>
      <c r="M617" s="58" t="s">
        <v>37</v>
      </c>
      <c r="N617" s="58" t="s">
        <v>38</v>
      </c>
      <c r="O617" s="58" t="s">
        <v>39</v>
      </c>
      <c r="P617" s="59"/>
      <c r="Q617" s="60"/>
      <c r="R617" s="60" t="s">
        <v>31</v>
      </c>
      <c r="S617" s="61">
        <v>45478.323611111096</v>
      </c>
      <c r="T617" s="62" t="s">
        <v>161</v>
      </c>
      <c r="U617" s="63">
        <v>45568.323611111096</v>
      </c>
      <c r="V617" s="64">
        <v>-44</v>
      </c>
    </row>
    <row r="618" spans="1:22" ht="11.25" x14ac:dyDescent="0.2">
      <c r="A618" s="55">
        <v>307089</v>
      </c>
      <c r="B618" s="55" t="s">
        <v>1672</v>
      </c>
      <c r="C618" s="56" t="s">
        <v>1673</v>
      </c>
      <c r="D618" s="56" t="s">
        <v>1673</v>
      </c>
      <c r="E618" s="57" t="s">
        <v>101</v>
      </c>
      <c r="F618" s="56" t="s">
        <v>102</v>
      </c>
      <c r="G618" s="57" t="s">
        <v>23</v>
      </c>
      <c r="H618" s="55" t="s">
        <v>179</v>
      </c>
      <c r="I618" s="57" t="s">
        <v>180</v>
      </c>
      <c r="J618" s="57" t="s">
        <v>121</v>
      </c>
      <c r="K618" s="57" t="s">
        <v>122</v>
      </c>
      <c r="L618" s="55" t="s">
        <v>36</v>
      </c>
      <c r="M618" s="58" t="s">
        <v>37</v>
      </c>
      <c r="N618" s="58" t="s">
        <v>38</v>
      </c>
      <c r="O618" s="58" t="s">
        <v>39</v>
      </c>
      <c r="P618" s="59"/>
      <c r="Q618" s="60"/>
      <c r="R618" s="60" t="s">
        <v>31</v>
      </c>
      <c r="S618" s="61">
        <v>45490.582638888904</v>
      </c>
      <c r="T618" s="62" t="s">
        <v>161</v>
      </c>
      <c r="U618" s="63">
        <v>45580.582638888904</v>
      </c>
      <c r="V618" s="64">
        <v>-56</v>
      </c>
    </row>
    <row r="619" spans="1:22" ht="11.25" x14ac:dyDescent="0.2">
      <c r="A619" s="55">
        <v>307090</v>
      </c>
      <c r="B619" s="55" t="s">
        <v>1674</v>
      </c>
      <c r="C619" s="56" t="s">
        <v>1675</v>
      </c>
      <c r="D619" s="56" t="s">
        <v>1675</v>
      </c>
      <c r="E619" s="57" t="s">
        <v>775</v>
      </c>
      <c r="F619" s="56" t="s">
        <v>776</v>
      </c>
      <c r="G619" s="57" t="s">
        <v>23</v>
      </c>
      <c r="H619" s="55" t="s">
        <v>179</v>
      </c>
      <c r="I619" s="57" t="s">
        <v>180</v>
      </c>
      <c r="J619" s="57" t="s">
        <v>119</v>
      </c>
      <c r="K619" s="57" t="s">
        <v>120</v>
      </c>
      <c r="L619" s="55" t="s">
        <v>36</v>
      </c>
      <c r="M619" s="58" t="s">
        <v>37</v>
      </c>
      <c r="N619" s="58" t="s">
        <v>38</v>
      </c>
      <c r="O619" s="58" t="s">
        <v>39</v>
      </c>
      <c r="P619" s="59"/>
      <c r="Q619" s="60"/>
      <c r="R619" s="60" t="s">
        <v>31</v>
      </c>
      <c r="S619" s="61">
        <v>45489.7944444444</v>
      </c>
      <c r="T619" s="62" t="s">
        <v>161</v>
      </c>
      <c r="U619" s="63">
        <v>45579.7944444444</v>
      </c>
      <c r="V619" s="64">
        <v>-55</v>
      </c>
    </row>
    <row r="620" spans="1:22" ht="11.25" x14ac:dyDescent="0.2">
      <c r="A620" s="55">
        <v>307091</v>
      </c>
      <c r="B620" s="55" t="s">
        <v>1676</v>
      </c>
      <c r="C620" s="56" t="s">
        <v>1677</v>
      </c>
      <c r="D620" s="56" t="s">
        <v>1677</v>
      </c>
      <c r="E620" s="57" t="s">
        <v>133</v>
      </c>
      <c r="F620" s="56" t="s">
        <v>134</v>
      </c>
      <c r="G620" s="57" t="s">
        <v>23</v>
      </c>
      <c r="H620" s="55" t="s">
        <v>179</v>
      </c>
      <c r="I620" s="57" t="s">
        <v>180</v>
      </c>
      <c r="J620" s="57" t="s">
        <v>649</v>
      </c>
      <c r="K620" s="57" t="s">
        <v>650</v>
      </c>
      <c r="L620" s="55" t="s">
        <v>36</v>
      </c>
      <c r="M620" s="58" t="s">
        <v>37</v>
      </c>
      <c r="N620" s="58" t="s">
        <v>83</v>
      </c>
      <c r="O620" s="58" t="s">
        <v>84</v>
      </c>
      <c r="P620" s="59"/>
      <c r="Q620" s="60"/>
      <c r="R620" s="60" t="s">
        <v>31</v>
      </c>
      <c r="S620" s="61">
        <v>45493.5180555556</v>
      </c>
      <c r="T620" s="62" t="s">
        <v>161</v>
      </c>
      <c r="U620" s="63">
        <v>45583.5180555556</v>
      </c>
      <c r="V620" s="64">
        <v>-59</v>
      </c>
    </row>
    <row r="621" spans="1:22" ht="11.25" x14ac:dyDescent="0.2">
      <c r="A621" s="55">
        <v>307092</v>
      </c>
      <c r="B621" s="55" t="s">
        <v>1678</v>
      </c>
      <c r="C621" s="56" t="s">
        <v>1679</v>
      </c>
      <c r="D621" s="56" t="s">
        <v>1679</v>
      </c>
      <c r="E621" s="57" t="s">
        <v>86</v>
      </c>
      <c r="F621" s="56" t="s">
        <v>87</v>
      </c>
      <c r="G621" s="57" t="s">
        <v>23</v>
      </c>
      <c r="H621" s="55" t="s">
        <v>179</v>
      </c>
      <c r="I621" s="57" t="s">
        <v>180</v>
      </c>
      <c r="J621" s="57" t="s">
        <v>649</v>
      </c>
      <c r="K621" s="57" t="s">
        <v>650</v>
      </c>
      <c r="L621" s="55" t="s">
        <v>36</v>
      </c>
      <c r="M621" s="58" t="s">
        <v>37</v>
      </c>
      <c r="N621" s="58" t="s">
        <v>83</v>
      </c>
      <c r="O621" s="58" t="s">
        <v>84</v>
      </c>
      <c r="P621" s="59"/>
      <c r="Q621" s="60"/>
      <c r="R621" s="60" t="s">
        <v>31</v>
      </c>
      <c r="S621" s="61">
        <v>45492.411111111098</v>
      </c>
      <c r="T621" s="62" t="s">
        <v>161</v>
      </c>
      <c r="U621" s="63">
        <v>45582.411111111098</v>
      </c>
      <c r="V621" s="64">
        <v>-58</v>
      </c>
    </row>
    <row r="622" spans="1:22" ht="11.25" x14ac:dyDescent="0.2">
      <c r="A622" s="55">
        <v>307093</v>
      </c>
      <c r="B622" s="55" t="s">
        <v>1680</v>
      </c>
      <c r="C622" s="56" t="s">
        <v>1681</v>
      </c>
      <c r="D622" s="56" t="s">
        <v>1681</v>
      </c>
      <c r="E622" s="57" t="s">
        <v>141</v>
      </c>
      <c r="F622" s="56" t="s">
        <v>142</v>
      </c>
      <c r="G622" s="57" t="s">
        <v>23</v>
      </c>
      <c r="H622" s="55" t="s">
        <v>179</v>
      </c>
      <c r="I622" s="57" t="s">
        <v>180</v>
      </c>
      <c r="J622" s="57" t="s">
        <v>507</v>
      </c>
      <c r="K622" s="57" t="s">
        <v>508</v>
      </c>
      <c r="L622" s="55" t="s">
        <v>36</v>
      </c>
      <c r="M622" s="58" t="s">
        <v>37</v>
      </c>
      <c r="N622" s="58" t="s">
        <v>83</v>
      </c>
      <c r="O622" s="58" t="s">
        <v>84</v>
      </c>
      <c r="P622" s="59"/>
      <c r="Q622" s="60"/>
      <c r="R622" s="60" t="s">
        <v>31</v>
      </c>
      <c r="S622" s="61">
        <v>45519.506944444402</v>
      </c>
      <c r="T622" s="62" t="s">
        <v>161</v>
      </c>
      <c r="U622" s="63">
        <v>45609.506944444402</v>
      </c>
      <c r="V622" s="64">
        <v>-85</v>
      </c>
    </row>
    <row r="623" spans="1:22" ht="11.25" x14ac:dyDescent="0.2">
      <c r="A623" s="55">
        <v>307094</v>
      </c>
      <c r="B623" s="55" t="s">
        <v>1682</v>
      </c>
      <c r="C623" s="56" t="s">
        <v>1683</v>
      </c>
      <c r="D623" s="56" t="s">
        <v>1683</v>
      </c>
      <c r="E623" s="57" t="s">
        <v>419</v>
      </c>
      <c r="F623" s="56" t="s">
        <v>420</v>
      </c>
      <c r="G623" s="57" t="s">
        <v>23</v>
      </c>
      <c r="H623" s="55" t="s">
        <v>179</v>
      </c>
      <c r="I623" s="57" t="s">
        <v>180</v>
      </c>
      <c r="J623" s="57" t="s">
        <v>808</v>
      </c>
      <c r="K623" s="57" t="s">
        <v>809</v>
      </c>
      <c r="L623" s="55" t="s">
        <v>36</v>
      </c>
      <c r="M623" s="58" t="s">
        <v>37</v>
      </c>
      <c r="N623" s="58" t="s">
        <v>83</v>
      </c>
      <c r="O623" s="58" t="s">
        <v>84</v>
      </c>
      <c r="P623" s="59"/>
      <c r="Q623" s="60"/>
      <c r="R623" s="60" t="s">
        <v>31</v>
      </c>
      <c r="S623" s="61">
        <v>45513.477083333302</v>
      </c>
      <c r="T623" s="62" t="s">
        <v>161</v>
      </c>
      <c r="U623" s="63">
        <v>45603.477083333302</v>
      </c>
      <c r="V623" s="64">
        <v>-79</v>
      </c>
    </row>
    <row r="624" spans="1:22" ht="11.25" x14ac:dyDescent="0.2">
      <c r="A624" s="55">
        <v>307095</v>
      </c>
      <c r="B624" s="55" t="s">
        <v>1684</v>
      </c>
      <c r="C624" s="56" t="s">
        <v>1685</v>
      </c>
      <c r="D624" s="56" t="s">
        <v>1685</v>
      </c>
      <c r="E624" s="57" t="s">
        <v>101</v>
      </c>
      <c r="F624" s="56" t="s">
        <v>102</v>
      </c>
      <c r="G624" s="57" t="s">
        <v>23</v>
      </c>
      <c r="H624" s="55" t="s">
        <v>34</v>
      </c>
      <c r="I624" s="57" t="s">
        <v>35</v>
      </c>
      <c r="J624" s="57" t="s">
        <v>808</v>
      </c>
      <c r="K624" s="57" t="s">
        <v>809</v>
      </c>
      <c r="L624" s="55" t="s">
        <v>36</v>
      </c>
      <c r="M624" s="58" t="s">
        <v>37</v>
      </c>
      <c r="N624" s="58" t="s">
        <v>83</v>
      </c>
      <c r="O624" s="58" t="s">
        <v>84</v>
      </c>
      <c r="P624" s="59">
        <v>45524.690277777801</v>
      </c>
      <c r="Q624" s="60"/>
      <c r="R624" s="60" t="s">
        <v>31</v>
      </c>
      <c r="S624" s="61">
        <v>45516.456250000003</v>
      </c>
      <c r="T624" s="62" t="s">
        <v>161</v>
      </c>
      <c r="U624" s="63">
        <v>45610.388888888898</v>
      </c>
      <c r="V624" s="64">
        <v>-86</v>
      </c>
    </row>
    <row r="625" spans="1:22" ht="11.25" x14ac:dyDescent="0.2">
      <c r="A625" s="55">
        <v>307096</v>
      </c>
      <c r="B625" s="55" t="s">
        <v>1686</v>
      </c>
      <c r="C625" s="56" t="s">
        <v>1687</v>
      </c>
      <c r="D625" s="56" t="s">
        <v>1687</v>
      </c>
      <c r="E625" s="57" t="s">
        <v>1688</v>
      </c>
      <c r="F625" s="56" t="s">
        <v>1689</v>
      </c>
      <c r="G625" s="57" t="s">
        <v>23</v>
      </c>
      <c r="H625" s="55" t="s">
        <v>34</v>
      </c>
      <c r="I625" s="57" t="s">
        <v>35</v>
      </c>
      <c r="J625" s="57" t="s">
        <v>128</v>
      </c>
      <c r="K625" s="57" t="s">
        <v>129</v>
      </c>
      <c r="L625" s="55" t="s">
        <v>36</v>
      </c>
      <c r="M625" s="58" t="s">
        <v>37</v>
      </c>
      <c r="N625" s="58" t="s">
        <v>29</v>
      </c>
      <c r="O625" s="58" t="s">
        <v>30</v>
      </c>
      <c r="P625" s="59">
        <v>45523.388888888898</v>
      </c>
      <c r="Q625" s="60"/>
      <c r="R625" s="60" t="s">
        <v>31</v>
      </c>
      <c r="S625" s="61">
        <v>45519.744444444397</v>
      </c>
      <c r="T625" s="62" t="s">
        <v>161</v>
      </c>
      <c r="U625" s="63">
        <v>45610.388888888898</v>
      </c>
      <c r="V625" s="64">
        <v>-86</v>
      </c>
    </row>
    <row r="626" spans="1:22" ht="11.25" x14ac:dyDescent="0.2">
      <c r="A626" s="55">
        <v>307097</v>
      </c>
      <c r="B626" s="55" t="s">
        <v>1690</v>
      </c>
      <c r="C626" s="56" t="s">
        <v>1691</v>
      </c>
      <c r="D626" s="56" t="s">
        <v>1691</v>
      </c>
      <c r="E626" s="57" t="s">
        <v>141</v>
      </c>
      <c r="F626" s="56" t="s">
        <v>142</v>
      </c>
      <c r="G626" s="57" t="s">
        <v>23</v>
      </c>
      <c r="H626" s="55" t="s">
        <v>179</v>
      </c>
      <c r="I626" s="57" t="s">
        <v>180</v>
      </c>
      <c r="J626" s="57" t="s">
        <v>507</v>
      </c>
      <c r="K626" s="57" t="s">
        <v>508</v>
      </c>
      <c r="L626" s="55" t="s">
        <v>36</v>
      </c>
      <c r="M626" s="58" t="s">
        <v>37</v>
      </c>
      <c r="N626" s="58" t="s">
        <v>83</v>
      </c>
      <c r="O626" s="58" t="s">
        <v>84</v>
      </c>
      <c r="P626" s="59"/>
      <c r="Q626" s="60"/>
      <c r="R626" s="60" t="s">
        <v>31</v>
      </c>
      <c r="S626" s="61">
        <v>45518.824999999997</v>
      </c>
      <c r="T626" s="62" t="s">
        <v>161</v>
      </c>
      <c r="U626" s="63">
        <v>45608.824999999997</v>
      </c>
      <c r="V626" s="64">
        <v>-84</v>
      </c>
    </row>
    <row r="627" spans="1:22" ht="11.25" x14ac:dyDescent="0.2">
      <c r="A627" s="55">
        <v>307098</v>
      </c>
      <c r="B627" s="55" t="s">
        <v>1692</v>
      </c>
      <c r="C627" s="56" t="s">
        <v>1693</v>
      </c>
      <c r="D627" s="56" t="s">
        <v>1693</v>
      </c>
      <c r="E627" s="57" t="s">
        <v>105</v>
      </c>
      <c r="F627" s="56" t="s">
        <v>106</v>
      </c>
      <c r="G627" s="57" t="s">
        <v>23</v>
      </c>
      <c r="H627" s="55" t="s">
        <v>34</v>
      </c>
      <c r="I627" s="57" t="s">
        <v>35</v>
      </c>
      <c r="J627" s="57" t="s">
        <v>107</v>
      </c>
      <c r="K627" s="57" t="s">
        <v>108</v>
      </c>
      <c r="L627" s="55" t="s">
        <v>36</v>
      </c>
      <c r="M627" s="58" t="s">
        <v>37</v>
      </c>
      <c r="N627" s="58" t="s">
        <v>29</v>
      </c>
      <c r="O627" s="58" t="s">
        <v>30</v>
      </c>
      <c r="P627" s="59">
        <v>45523.399305555598</v>
      </c>
      <c r="Q627" s="60"/>
      <c r="R627" s="60" t="s">
        <v>31</v>
      </c>
      <c r="S627" s="61">
        <v>45513.512499999997</v>
      </c>
      <c r="T627" s="62" t="s">
        <v>161</v>
      </c>
      <c r="U627" s="63">
        <v>45610.388888888898</v>
      </c>
      <c r="V627" s="64">
        <v>-86</v>
      </c>
    </row>
    <row r="628" spans="1:22" ht="11.25" x14ac:dyDescent="0.2">
      <c r="A628" s="55">
        <v>307099</v>
      </c>
      <c r="B628" s="55" t="s">
        <v>1694</v>
      </c>
      <c r="C628" s="56" t="s">
        <v>1695</v>
      </c>
      <c r="D628" s="56" t="s">
        <v>1695</v>
      </c>
      <c r="E628" s="57" t="s">
        <v>105</v>
      </c>
      <c r="F628" s="56" t="s">
        <v>106</v>
      </c>
      <c r="G628" s="57" t="s">
        <v>23</v>
      </c>
      <c r="H628" s="55" t="s">
        <v>34</v>
      </c>
      <c r="I628" s="57" t="s">
        <v>35</v>
      </c>
      <c r="J628" s="57" t="s">
        <v>107</v>
      </c>
      <c r="K628" s="57" t="s">
        <v>108</v>
      </c>
      <c r="L628" s="55" t="s">
        <v>36</v>
      </c>
      <c r="M628" s="58" t="s">
        <v>37</v>
      </c>
      <c r="N628" s="58" t="s">
        <v>29</v>
      </c>
      <c r="O628" s="58" t="s">
        <v>30</v>
      </c>
      <c r="P628" s="59">
        <v>45523.399305555598</v>
      </c>
      <c r="Q628" s="60"/>
      <c r="R628" s="60" t="s">
        <v>31</v>
      </c>
      <c r="S628" s="61">
        <v>45513.5222222222</v>
      </c>
      <c r="T628" s="62" t="s">
        <v>161</v>
      </c>
      <c r="U628" s="63">
        <v>45610.388888888898</v>
      </c>
      <c r="V628" s="64">
        <v>-86</v>
      </c>
    </row>
    <row r="629" spans="1:22" ht="11.25" x14ac:dyDescent="0.2">
      <c r="A629" s="55">
        <v>307100</v>
      </c>
      <c r="B629" s="55" t="s">
        <v>1696</v>
      </c>
      <c r="C629" s="56" t="s">
        <v>1697</v>
      </c>
      <c r="D629" s="56" t="s">
        <v>1697</v>
      </c>
      <c r="E629" s="57" t="s">
        <v>105</v>
      </c>
      <c r="F629" s="56" t="s">
        <v>106</v>
      </c>
      <c r="G629" s="57" t="s">
        <v>23</v>
      </c>
      <c r="H629" s="55" t="s">
        <v>81</v>
      </c>
      <c r="I629" s="57" t="s">
        <v>82</v>
      </c>
      <c r="J629" s="57" t="s">
        <v>107</v>
      </c>
      <c r="K629" s="57" t="s">
        <v>108</v>
      </c>
      <c r="L629" s="55" t="s">
        <v>36</v>
      </c>
      <c r="M629" s="58" t="s">
        <v>37</v>
      </c>
      <c r="N629" s="58" t="s">
        <v>29</v>
      </c>
      <c r="O629" s="58" t="s">
        <v>30</v>
      </c>
      <c r="P629" s="59">
        <v>45520.554166666698</v>
      </c>
      <c r="Q629" s="60"/>
      <c r="R629" s="60" t="s">
        <v>31</v>
      </c>
      <c r="S629" s="61">
        <v>45513.524305555598</v>
      </c>
      <c r="T629" s="62" t="s">
        <v>161</v>
      </c>
      <c r="U629" s="63">
        <v>45610.388888888898</v>
      </c>
      <c r="V629" s="64">
        <v>-86</v>
      </c>
    </row>
    <row r="630" spans="1:22" ht="11.25" x14ac:dyDescent="0.2">
      <c r="A630" s="55">
        <v>307101</v>
      </c>
      <c r="B630" s="55" t="s">
        <v>1698</v>
      </c>
      <c r="C630" s="56" t="s">
        <v>1699</v>
      </c>
      <c r="D630" s="56" t="s">
        <v>1699</v>
      </c>
      <c r="E630" s="57" t="s">
        <v>105</v>
      </c>
      <c r="F630" s="56" t="s">
        <v>106</v>
      </c>
      <c r="G630" s="57" t="s">
        <v>23</v>
      </c>
      <c r="H630" s="55" t="s">
        <v>34</v>
      </c>
      <c r="I630" s="57" t="s">
        <v>35</v>
      </c>
      <c r="J630" s="57" t="s">
        <v>107</v>
      </c>
      <c r="K630" s="57" t="s">
        <v>108</v>
      </c>
      <c r="L630" s="55" t="s">
        <v>36</v>
      </c>
      <c r="M630" s="58" t="s">
        <v>37</v>
      </c>
      <c r="N630" s="58" t="s">
        <v>57</v>
      </c>
      <c r="O630" s="58" t="s">
        <v>58</v>
      </c>
      <c r="P630" s="59">
        <v>45523.410416666702</v>
      </c>
      <c r="Q630" s="60"/>
      <c r="R630" s="60" t="s">
        <v>40</v>
      </c>
      <c r="S630" s="61">
        <v>45511.503472222197</v>
      </c>
      <c r="T630" s="62" t="s">
        <v>161</v>
      </c>
      <c r="U630" s="63">
        <v>45520.388888888898</v>
      </c>
      <c r="V630" s="64">
        <v>4</v>
      </c>
    </row>
    <row r="631" spans="1:22" ht="11.25" x14ac:dyDescent="0.2">
      <c r="A631" s="55">
        <v>307102</v>
      </c>
      <c r="B631" s="55" t="s">
        <v>1700</v>
      </c>
      <c r="C631" s="56" t="s">
        <v>1701</v>
      </c>
      <c r="D631" s="56" t="s">
        <v>1701</v>
      </c>
      <c r="E631" s="57" t="s">
        <v>183</v>
      </c>
      <c r="F631" s="56" t="s">
        <v>184</v>
      </c>
      <c r="G631" s="57" t="s">
        <v>23</v>
      </c>
      <c r="H631" s="55" t="s">
        <v>34</v>
      </c>
      <c r="I631" s="57" t="s">
        <v>35</v>
      </c>
      <c r="J631" s="57" t="s">
        <v>808</v>
      </c>
      <c r="K631" s="57" t="s">
        <v>809</v>
      </c>
      <c r="L631" s="55" t="s">
        <v>36</v>
      </c>
      <c r="M631" s="58" t="s">
        <v>37</v>
      </c>
      <c r="N631" s="58" t="s">
        <v>83</v>
      </c>
      <c r="O631" s="58" t="s">
        <v>84</v>
      </c>
      <c r="P631" s="59">
        <v>45524.690972222197</v>
      </c>
      <c r="Q631" s="60"/>
      <c r="R631" s="60" t="s">
        <v>31</v>
      </c>
      <c r="S631" s="61">
        <v>45512.4152777778</v>
      </c>
      <c r="T631" s="62" t="s">
        <v>161</v>
      </c>
      <c r="U631" s="63">
        <v>45610.388888888898</v>
      </c>
      <c r="V631" s="64">
        <v>-86</v>
      </c>
    </row>
    <row r="632" spans="1:22" ht="11.25" x14ac:dyDescent="0.2">
      <c r="A632" s="55">
        <v>307103</v>
      </c>
      <c r="B632" s="55" t="s">
        <v>1702</v>
      </c>
      <c r="C632" s="56" t="s">
        <v>1703</v>
      </c>
      <c r="D632" s="56" t="s">
        <v>1703</v>
      </c>
      <c r="E632" s="57" t="s">
        <v>775</v>
      </c>
      <c r="F632" s="56" t="s">
        <v>776</v>
      </c>
      <c r="G632" s="57" t="s">
        <v>23</v>
      </c>
      <c r="H632" s="55" t="s">
        <v>179</v>
      </c>
      <c r="I632" s="57" t="s">
        <v>180</v>
      </c>
      <c r="J632" s="57" t="s">
        <v>107</v>
      </c>
      <c r="K632" s="57" t="s">
        <v>108</v>
      </c>
      <c r="L632" s="55" t="s">
        <v>36</v>
      </c>
      <c r="M632" s="58" t="s">
        <v>37</v>
      </c>
      <c r="N632" s="58" t="s">
        <v>29</v>
      </c>
      <c r="O632" s="58" t="s">
        <v>30</v>
      </c>
      <c r="P632" s="59"/>
      <c r="Q632" s="60"/>
      <c r="R632" s="60" t="s">
        <v>31</v>
      </c>
      <c r="S632" s="61">
        <v>45511.513888888898</v>
      </c>
      <c r="T632" s="62" t="s">
        <v>161</v>
      </c>
      <c r="U632" s="63">
        <v>45601.513888888898</v>
      </c>
      <c r="V632" s="64">
        <v>-77</v>
      </c>
    </row>
    <row r="633" spans="1:22" ht="11.25" x14ac:dyDescent="0.2">
      <c r="A633" s="55">
        <v>307104</v>
      </c>
      <c r="B633" s="55" t="s">
        <v>1704</v>
      </c>
      <c r="C633" s="56" t="s">
        <v>1705</v>
      </c>
      <c r="D633" s="56" t="s">
        <v>1705</v>
      </c>
      <c r="E633" s="57" t="s">
        <v>105</v>
      </c>
      <c r="F633" s="56" t="s">
        <v>106</v>
      </c>
      <c r="G633" s="57" t="s">
        <v>23</v>
      </c>
      <c r="H633" s="55" t="s">
        <v>34</v>
      </c>
      <c r="I633" s="57" t="s">
        <v>35</v>
      </c>
      <c r="J633" s="57" t="s">
        <v>107</v>
      </c>
      <c r="K633" s="57" t="s">
        <v>108</v>
      </c>
      <c r="L633" s="55" t="s">
        <v>36</v>
      </c>
      <c r="M633" s="58" t="s">
        <v>37</v>
      </c>
      <c r="N633" s="58" t="s">
        <v>29</v>
      </c>
      <c r="O633" s="58" t="s">
        <v>30</v>
      </c>
      <c r="P633" s="59">
        <v>45523.4</v>
      </c>
      <c r="Q633" s="60"/>
      <c r="R633" s="60" t="s">
        <v>31</v>
      </c>
      <c r="S633" s="61">
        <v>45511.499305555597</v>
      </c>
      <c r="T633" s="62" t="s">
        <v>161</v>
      </c>
      <c r="U633" s="63">
        <v>45610.388888888898</v>
      </c>
      <c r="V633" s="64">
        <v>-86</v>
      </c>
    </row>
    <row r="634" spans="1:22" ht="11.25" x14ac:dyDescent="0.2">
      <c r="A634" s="55">
        <v>307105</v>
      </c>
      <c r="B634" s="55" t="s">
        <v>1706</v>
      </c>
      <c r="C634" s="56" t="s">
        <v>1707</v>
      </c>
      <c r="D634" s="56" t="s">
        <v>1708</v>
      </c>
      <c r="E634" s="57" t="s">
        <v>86</v>
      </c>
      <c r="F634" s="56" t="s">
        <v>87</v>
      </c>
      <c r="G634" s="57" t="s">
        <v>23</v>
      </c>
      <c r="H634" s="55" t="s">
        <v>22</v>
      </c>
      <c r="I634" s="57" t="s">
        <v>24</v>
      </c>
      <c r="J634" s="57" t="s">
        <v>509</v>
      </c>
      <c r="K634" s="57" t="s">
        <v>510</v>
      </c>
      <c r="L634" s="55" t="s">
        <v>36</v>
      </c>
      <c r="M634" s="58" t="s">
        <v>37</v>
      </c>
      <c r="N634" s="58" t="s">
        <v>57</v>
      </c>
      <c r="O634" s="58" t="s">
        <v>58</v>
      </c>
      <c r="P634" s="59"/>
      <c r="Q634" s="60"/>
      <c r="R634" s="60" t="s">
        <v>40</v>
      </c>
      <c r="S634" s="61">
        <v>45512.411805555603</v>
      </c>
      <c r="T634" s="62" t="s">
        <v>161</v>
      </c>
      <c r="U634" s="63">
        <v>45520.388888888898</v>
      </c>
      <c r="V634" s="64">
        <v>4</v>
      </c>
    </row>
    <row r="635" spans="1:22" ht="11.25" x14ac:dyDescent="0.2">
      <c r="A635" s="55">
        <v>307106</v>
      </c>
      <c r="B635" s="55" t="s">
        <v>1709</v>
      </c>
      <c r="C635" s="56" t="s">
        <v>1710</v>
      </c>
      <c r="D635" s="56" t="s">
        <v>1710</v>
      </c>
      <c r="E635" s="57" t="s">
        <v>159</v>
      </c>
      <c r="F635" s="56" t="s">
        <v>160</v>
      </c>
      <c r="G635" s="57" t="s">
        <v>23</v>
      </c>
      <c r="H635" s="55" t="s">
        <v>179</v>
      </c>
      <c r="I635" s="57" t="s">
        <v>180</v>
      </c>
      <c r="J635" s="57" t="s">
        <v>1453</v>
      </c>
      <c r="K635" s="57" t="s">
        <v>1454</v>
      </c>
      <c r="L635" s="55" t="s">
        <v>36</v>
      </c>
      <c r="M635" s="58" t="s">
        <v>37</v>
      </c>
      <c r="N635" s="58" t="s">
        <v>38</v>
      </c>
      <c r="O635" s="58" t="s">
        <v>39</v>
      </c>
      <c r="P635" s="59"/>
      <c r="Q635" s="60"/>
      <c r="R635" s="60" t="s">
        <v>31</v>
      </c>
      <c r="S635" s="61">
        <v>45509.532638888901</v>
      </c>
      <c r="T635" s="62" t="s">
        <v>161</v>
      </c>
      <c r="U635" s="63">
        <v>45599.532638888901</v>
      </c>
      <c r="V635" s="64">
        <v>-75</v>
      </c>
    </row>
    <row r="636" spans="1:22" ht="11.25" x14ac:dyDescent="0.2">
      <c r="A636" s="55">
        <v>307107</v>
      </c>
      <c r="B636" s="55" t="s">
        <v>1711</v>
      </c>
      <c r="C636" s="56" t="s">
        <v>1712</v>
      </c>
      <c r="D636" s="56" t="s">
        <v>1712</v>
      </c>
      <c r="E636" s="57" t="s">
        <v>183</v>
      </c>
      <c r="F636" s="56" t="s">
        <v>184</v>
      </c>
      <c r="G636" s="57" t="s">
        <v>23</v>
      </c>
      <c r="H636" s="55" t="s">
        <v>34</v>
      </c>
      <c r="I636" s="57" t="s">
        <v>35</v>
      </c>
      <c r="J636" s="57" t="s">
        <v>1713</v>
      </c>
      <c r="K636" s="57" t="s">
        <v>1714</v>
      </c>
      <c r="L636" s="55" t="s">
        <v>36</v>
      </c>
      <c r="M636" s="58" t="s">
        <v>37</v>
      </c>
      <c r="N636" s="58" t="s">
        <v>83</v>
      </c>
      <c r="O636" s="58" t="s">
        <v>84</v>
      </c>
      <c r="P636" s="59">
        <v>45524.690972222197</v>
      </c>
      <c r="Q636" s="60"/>
      <c r="R636" s="60" t="s">
        <v>31</v>
      </c>
      <c r="S636" s="61">
        <v>45511.302083333299</v>
      </c>
      <c r="T636" s="62" t="s">
        <v>161</v>
      </c>
      <c r="U636" s="63">
        <v>45610.388888888898</v>
      </c>
      <c r="V636" s="64">
        <v>-86</v>
      </c>
    </row>
    <row r="637" spans="1:22" ht="11.25" x14ac:dyDescent="0.2">
      <c r="A637" s="55">
        <v>307108</v>
      </c>
      <c r="B637" s="55" t="s">
        <v>1715</v>
      </c>
      <c r="C637" s="56" t="s">
        <v>1716</v>
      </c>
      <c r="D637" s="56" t="s">
        <v>1716</v>
      </c>
      <c r="E637" s="57" t="s">
        <v>199</v>
      </c>
      <c r="F637" s="56" t="s">
        <v>200</v>
      </c>
      <c r="G637" s="57" t="s">
        <v>23</v>
      </c>
      <c r="H637" s="55" t="s">
        <v>179</v>
      </c>
      <c r="I637" s="57" t="s">
        <v>180</v>
      </c>
      <c r="J637" s="57" t="s">
        <v>571</v>
      </c>
      <c r="K637" s="57" t="s">
        <v>572</v>
      </c>
      <c r="L637" s="55" t="s">
        <v>36</v>
      </c>
      <c r="M637" s="58" t="s">
        <v>37</v>
      </c>
      <c r="N637" s="58" t="s">
        <v>29</v>
      </c>
      <c r="O637" s="58" t="s">
        <v>30</v>
      </c>
      <c r="P637" s="59"/>
      <c r="Q637" s="60"/>
      <c r="R637" s="60" t="s">
        <v>31</v>
      </c>
      <c r="S637" s="61">
        <v>45511.519444444399</v>
      </c>
      <c r="T637" s="62" t="s">
        <v>161</v>
      </c>
      <c r="U637" s="63">
        <v>45601.519444444399</v>
      </c>
      <c r="V637" s="64">
        <v>-77</v>
      </c>
    </row>
    <row r="638" spans="1:22" ht="11.25" x14ac:dyDescent="0.2">
      <c r="A638" s="55">
        <v>307109</v>
      </c>
      <c r="B638" s="55" t="s">
        <v>1717</v>
      </c>
      <c r="C638" s="56" t="s">
        <v>1718</v>
      </c>
      <c r="D638" s="56" t="s">
        <v>1718</v>
      </c>
      <c r="E638" s="57" t="s">
        <v>196</v>
      </c>
      <c r="F638" s="56" t="s">
        <v>197</v>
      </c>
      <c r="G638" s="57" t="s">
        <v>23</v>
      </c>
      <c r="H638" s="55" t="s">
        <v>34</v>
      </c>
      <c r="I638" s="57" t="s">
        <v>35</v>
      </c>
      <c r="J638" s="57" t="s">
        <v>1112</v>
      </c>
      <c r="K638" s="57" t="s">
        <v>1113</v>
      </c>
      <c r="L638" s="55" t="s">
        <v>36</v>
      </c>
      <c r="M638" s="58" t="s">
        <v>37</v>
      </c>
      <c r="N638" s="58" t="s">
        <v>83</v>
      </c>
      <c r="O638" s="58" t="s">
        <v>84</v>
      </c>
      <c r="P638" s="59">
        <v>45524.690972222197</v>
      </c>
      <c r="Q638" s="60"/>
      <c r="R638" s="60" t="s">
        <v>40</v>
      </c>
      <c r="S638" s="61">
        <v>45511.529861111099</v>
      </c>
      <c r="T638" s="62" t="s">
        <v>161</v>
      </c>
      <c r="U638" s="63">
        <v>45520.388888888898</v>
      </c>
      <c r="V638" s="64">
        <v>4</v>
      </c>
    </row>
    <row r="639" spans="1:22" ht="11.25" x14ac:dyDescent="0.2">
      <c r="A639" s="55">
        <v>307110</v>
      </c>
      <c r="B639" s="55" t="s">
        <v>1719</v>
      </c>
      <c r="C639" s="56" t="s">
        <v>1720</v>
      </c>
      <c r="D639" s="56" t="s">
        <v>1720</v>
      </c>
      <c r="E639" s="57" t="s">
        <v>105</v>
      </c>
      <c r="F639" s="56" t="s">
        <v>106</v>
      </c>
      <c r="G639" s="57" t="s">
        <v>23</v>
      </c>
      <c r="H639" s="55" t="s">
        <v>179</v>
      </c>
      <c r="I639" s="57" t="s">
        <v>180</v>
      </c>
      <c r="J639" s="57" t="s">
        <v>107</v>
      </c>
      <c r="K639" s="57" t="s">
        <v>108</v>
      </c>
      <c r="L639" s="55" t="s">
        <v>36</v>
      </c>
      <c r="M639" s="58" t="s">
        <v>37</v>
      </c>
      <c r="N639" s="58" t="s">
        <v>29</v>
      </c>
      <c r="O639" s="58" t="s">
        <v>30</v>
      </c>
      <c r="P639" s="59"/>
      <c r="Q639" s="60"/>
      <c r="R639" s="60" t="s">
        <v>31</v>
      </c>
      <c r="S639" s="61">
        <v>45511.511805555601</v>
      </c>
      <c r="T639" s="62" t="s">
        <v>161</v>
      </c>
      <c r="U639" s="63">
        <v>45601.511805555601</v>
      </c>
      <c r="V639" s="64">
        <v>-77</v>
      </c>
    </row>
    <row r="640" spans="1:22" ht="11.25" x14ac:dyDescent="0.2">
      <c r="A640" s="55">
        <v>307111</v>
      </c>
      <c r="B640" s="55" t="s">
        <v>1721</v>
      </c>
      <c r="C640" s="56" t="s">
        <v>1722</v>
      </c>
      <c r="D640" s="56" t="s">
        <v>1722</v>
      </c>
      <c r="E640" s="57" t="s">
        <v>673</v>
      </c>
      <c r="F640" s="56" t="s">
        <v>674</v>
      </c>
      <c r="G640" s="57" t="s">
        <v>23</v>
      </c>
      <c r="H640" s="55" t="s">
        <v>179</v>
      </c>
      <c r="I640" s="57" t="s">
        <v>180</v>
      </c>
      <c r="J640" s="57" t="s">
        <v>1723</v>
      </c>
      <c r="K640" s="57" t="s">
        <v>1724</v>
      </c>
      <c r="L640" s="55" t="s">
        <v>36</v>
      </c>
      <c r="M640" s="58" t="s">
        <v>37</v>
      </c>
      <c r="N640" s="58" t="s">
        <v>83</v>
      </c>
      <c r="O640" s="58" t="s">
        <v>84</v>
      </c>
      <c r="P640" s="59"/>
      <c r="Q640" s="60"/>
      <c r="R640" s="60" t="s">
        <v>31</v>
      </c>
      <c r="S640" s="61">
        <v>45510.298611111102</v>
      </c>
      <c r="T640" s="62" t="s">
        <v>161</v>
      </c>
      <c r="U640" s="63">
        <v>45610.388888888898</v>
      </c>
      <c r="V640" s="64">
        <v>-86</v>
      </c>
    </row>
    <row r="641" spans="1:22" ht="11.25" x14ac:dyDescent="0.2">
      <c r="A641" s="55">
        <v>307112</v>
      </c>
      <c r="B641" s="55" t="s">
        <v>1725</v>
      </c>
      <c r="C641" s="56" t="s">
        <v>1726</v>
      </c>
      <c r="D641" s="56" t="s">
        <v>1726</v>
      </c>
      <c r="E641" s="57" t="s">
        <v>632</v>
      </c>
      <c r="F641" s="56" t="s">
        <v>633</v>
      </c>
      <c r="G641" s="57" t="s">
        <v>23</v>
      </c>
      <c r="H641" s="55" t="s">
        <v>179</v>
      </c>
      <c r="I641" s="57" t="s">
        <v>180</v>
      </c>
      <c r="J641" s="57" t="s">
        <v>634</v>
      </c>
      <c r="K641" s="57" t="s">
        <v>635</v>
      </c>
      <c r="L641" s="55" t="s">
        <v>36</v>
      </c>
      <c r="M641" s="58" t="s">
        <v>37</v>
      </c>
      <c r="N641" s="58" t="s">
        <v>38</v>
      </c>
      <c r="O641" s="58" t="s">
        <v>39</v>
      </c>
      <c r="P641" s="59"/>
      <c r="Q641" s="60"/>
      <c r="R641" s="60" t="s">
        <v>31</v>
      </c>
      <c r="S641" s="61">
        <v>45504.390972222202</v>
      </c>
      <c r="T641" s="62" t="s">
        <v>161</v>
      </c>
      <c r="U641" s="63">
        <v>45594.390972222202</v>
      </c>
      <c r="V641" s="64">
        <v>-70</v>
      </c>
    </row>
    <row r="642" spans="1:22" ht="11.25" x14ac:dyDescent="0.2">
      <c r="A642" s="55">
        <v>307113</v>
      </c>
      <c r="B642" s="55" t="s">
        <v>1727</v>
      </c>
      <c r="C642" s="56" t="s">
        <v>1728</v>
      </c>
      <c r="D642" s="56" t="s">
        <v>1728</v>
      </c>
      <c r="E642" s="57" t="s">
        <v>1729</v>
      </c>
      <c r="F642" s="56" t="s">
        <v>1730</v>
      </c>
      <c r="G642" s="57" t="s">
        <v>23</v>
      </c>
      <c r="H642" s="55" t="s">
        <v>179</v>
      </c>
      <c r="I642" s="57" t="s">
        <v>180</v>
      </c>
      <c r="J642" s="57" t="s">
        <v>226</v>
      </c>
      <c r="K642" s="57" t="s">
        <v>227</v>
      </c>
      <c r="L642" s="55" t="s">
        <v>36</v>
      </c>
      <c r="M642" s="58" t="s">
        <v>37</v>
      </c>
      <c r="N642" s="58" t="s">
        <v>83</v>
      </c>
      <c r="O642" s="58" t="s">
        <v>84</v>
      </c>
      <c r="P642" s="59"/>
      <c r="Q642" s="60"/>
      <c r="R642" s="60" t="s">
        <v>31</v>
      </c>
      <c r="S642" s="61">
        <v>45501.261111111096</v>
      </c>
      <c r="T642" s="62" t="s">
        <v>161</v>
      </c>
      <c r="U642" s="63">
        <v>45591.261111111096</v>
      </c>
      <c r="V642" s="64">
        <v>-67</v>
      </c>
    </row>
    <row r="643" spans="1:22" ht="11.25" x14ac:dyDescent="0.2">
      <c r="A643" s="55">
        <v>307114</v>
      </c>
      <c r="B643" s="55" t="s">
        <v>1731</v>
      </c>
      <c r="C643" s="56" t="s">
        <v>1732</v>
      </c>
      <c r="D643" s="56" t="s">
        <v>1732</v>
      </c>
      <c r="E643" s="57" t="s">
        <v>673</v>
      </c>
      <c r="F643" s="56" t="s">
        <v>674</v>
      </c>
      <c r="G643" s="57" t="s">
        <v>23</v>
      </c>
      <c r="H643" s="55" t="s">
        <v>34</v>
      </c>
      <c r="I643" s="57" t="s">
        <v>35</v>
      </c>
      <c r="J643" s="57" t="s">
        <v>226</v>
      </c>
      <c r="K643" s="57" t="s">
        <v>227</v>
      </c>
      <c r="L643" s="55" t="s">
        <v>36</v>
      </c>
      <c r="M643" s="58" t="s">
        <v>37</v>
      </c>
      <c r="N643" s="58" t="s">
        <v>29</v>
      </c>
      <c r="O643" s="58" t="s">
        <v>30</v>
      </c>
      <c r="P643" s="59">
        <v>45524.629166666702</v>
      </c>
      <c r="Q643" s="60"/>
      <c r="R643" s="60" t="s">
        <v>31</v>
      </c>
      <c r="S643" s="61">
        <v>45497.852083333302</v>
      </c>
      <c r="T643" s="62" t="s">
        <v>161</v>
      </c>
      <c r="U643" s="63">
        <v>45610.388888888898</v>
      </c>
      <c r="V643" s="64">
        <v>-86</v>
      </c>
    </row>
    <row r="644" spans="1:22" ht="11.25" x14ac:dyDescent="0.2">
      <c r="A644" s="55">
        <v>307115</v>
      </c>
      <c r="B644" s="55" t="s">
        <v>1733</v>
      </c>
      <c r="C644" s="56" t="s">
        <v>1734</v>
      </c>
      <c r="D644" s="56" t="s">
        <v>1734</v>
      </c>
      <c r="E644" s="57" t="s">
        <v>183</v>
      </c>
      <c r="F644" s="56" t="s">
        <v>184</v>
      </c>
      <c r="G644" s="57" t="s">
        <v>23</v>
      </c>
      <c r="H644" s="55" t="s">
        <v>179</v>
      </c>
      <c r="I644" s="57" t="s">
        <v>180</v>
      </c>
      <c r="J644" s="57" t="s">
        <v>66</v>
      </c>
      <c r="K644" s="57" t="s">
        <v>67</v>
      </c>
      <c r="L644" s="55" t="s">
        <v>36</v>
      </c>
      <c r="M644" s="58" t="s">
        <v>37</v>
      </c>
      <c r="N644" s="58" t="s">
        <v>201</v>
      </c>
      <c r="O644" s="58" t="s">
        <v>202</v>
      </c>
      <c r="P644" s="59"/>
      <c r="Q644" s="60"/>
      <c r="R644" s="60" t="s">
        <v>31</v>
      </c>
      <c r="S644" s="61">
        <v>45483.423611111102</v>
      </c>
      <c r="T644" s="62" t="s">
        <v>161</v>
      </c>
      <c r="U644" s="63">
        <v>45573.423611111102</v>
      </c>
      <c r="V644" s="64">
        <v>-49</v>
      </c>
    </row>
    <row r="645" spans="1:22" ht="11.25" x14ac:dyDescent="0.2">
      <c r="A645" s="55">
        <v>307116</v>
      </c>
      <c r="B645" s="55" t="s">
        <v>1735</v>
      </c>
      <c r="C645" s="56" t="s">
        <v>1736</v>
      </c>
      <c r="D645" s="56" t="s">
        <v>1737</v>
      </c>
      <c r="E645" s="57" t="s">
        <v>145</v>
      </c>
      <c r="F645" s="56" t="s">
        <v>145</v>
      </c>
      <c r="G645" s="57" t="s">
        <v>23</v>
      </c>
      <c r="H645" s="55" t="s">
        <v>34</v>
      </c>
      <c r="I645" s="57" t="s">
        <v>35</v>
      </c>
      <c r="J645" s="57" t="s">
        <v>66</v>
      </c>
      <c r="K645" s="57" t="s">
        <v>67</v>
      </c>
      <c r="L645" s="55" t="s">
        <v>36</v>
      </c>
      <c r="M645" s="58" t="s">
        <v>37</v>
      </c>
      <c r="N645" s="58" t="s">
        <v>90</v>
      </c>
      <c r="O645" s="58" t="s">
        <v>91</v>
      </c>
      <c r="P645" s="59">
        <v>45525.657638888901</v>
      </c>
      <c r="Q645" s="60"/>
      <c r="R645" s="60" t="s">
        <v>31</v>
      </c>
      <c r="S645" s="61">
        <v>45519.538888888899</v>
      </c>
      <c r="T645" s="62" t="s">
        <v>161</v>
      </c>
      <c r="U645" s="63">
        <v>45610.388888888898</v>
      </c>
      <c r="V645" s="64">
        <v>-86</v>
      </c>
    </row>
    <row r="646" spans="1:22" ht="11.25" x14ac:dyDescent="0.2">
      <c r="A646" s="55">
        <v>307117</v>
      </c>
      <c r="B646" s="55" t="s">
        <v>1738</v>
      </c>
      <c r="C646" s="56" t="s">
        <v>1739</v>
      </c>
      <c r="D646" s="56" t="s">
        <v>1740</v>
      </c>
      <c r="E646" s="57" t="s">
        <v>1741</v>
      </c>
      <c r="F646" s="56" t="s">
        <v>1742</v>
      </c>
      <c r="G646" s="57" t="s">
        <v>33</v>
      </c>
      <c r="H646" s="55" t="s">
        <v>34</v>
      </c>
      <c r="I646" s="57" t="s">
        <v>35</v>
      </c>
      <c r="J646" s="57" t="s">
        <v>1743</v>
      </c>
      <c r="K646" s="57" t="s">
        <v>1744</v>
      </c>
      <c r="L646" s="55" t="s">
        <v>36</v>
      </c>
      <c r="M646" s="58" t="s">
        <v>37</v>
      </c>
      <c r="N646" s="58" t="s">
        <v>29</v>
      </c>
      <c r="O646" s="58" t="s">
        <v>30</v>
      </c>
      <c r="P646" s="59">
        <v>45524.629166666702</v>
      </c>
      <c r="Q646" s="60"/>
      <c r="R646" s="60" t="s">
        <v>31</v>
      </c>
      <c r="S646" s="61">
        <v>45512.309027777803</v>
      </c>
      <c r="T646" s="62" t="s">
        <v>161</v>
      </c>
      <c r="U646" s="63">
        <v>45610.388888888898</v>
      </c>
      <c r="V646" s="64">
        <v>-86</v>
      </c>
    </row>
    <row r="647" spans="1:22" ht="11.25" x14ac:dyDescent="0.2">
      <c r="A647" s="55">
        <v>307118</v>
      </c>
      <c r="B647" s="55" t="s">
        <v>1745</v>
      </c>
      <c r="C647" s="56" t="s">
        <v>1746</v>
      </c>
      <c r="D647" s="56" t="s">
        <v>1746</v>
      </c>
      <c r="E647" s="57" t="s">
        <v>1747</v>
      </c>
      <c r="F647" s="56" t="s">
        <v>1131</v>
      </c>
      <c r="G647" s="57" t="s">
        <v>33</v>
      </c>
      <c r="H647" s="55" t="s">
        <v>49</v>
      </c>
      <c r="I647" s="57" t="s">
        <v>50</v>
      </c>
      <c r="J647" s="57" t="s">
        <v>1169</v>
      </c>
      <c r="K647" s="57" t="s">
        <v>1170</v>
      </c>
      <c r="L647" s="55" t="s">
        <v>36</v>
      </c>
      <c r="M647" s="58" t="s">
        <v>37</v>
      </c>
      <c r="N647" s="58" t="s">
        <v>76</v>
      </c>
      <c r="O647" s="58" t="s">
        <v>77</v>
      </c>
      <c r="P647" s="59">
        <v>45520.391666666699</v>
      </c>
      <c r="Q647" s="60"/>
      <c r="R647" s="60" t="s">
        <v>40</v>
      </c>
      <c r="S647" s="61">
        <v>45518.806944444397</v>
      </c>
      <c r="T647" s="62" t="s">
        <v>161</v>
      </c>
      <c r="U647" s="63">
        <v>45520.388888888898</v>
      </c>
      <c r="V647" s="64">
        <v>4</v>
      </c>
    </row>
    <row r="648" spans="1:22" ht="11.25" x14ac:dyDescent="0.2">
      <c r="A648" s="55">
        <v>307119</v>
      </c>
      <c r="B648" s="55" t="s">
        <v>1748</v>
      </c>
      <c r="C648" s="56" t="s">
        <v>1749</v>
      </c>
      <c r="D648" s="56" t="s">
        <v>1749</v>
      </c>
      <c r="E648" s="57" t="s">
        <v>1371</v>
      </c>
      <c r="F648" s="56" t="s">
        <v>1372</v>
      </c>
      <c r="G648" s="57" t="s">
        <v>33</v>
      </c>
      <c r="H648" s="55" t="s">
        <v>179</v>
      </c>
      <c r="I648" s="57" t="s">
        <v>180</v>
      </c>
      <c r="J648" s="57" t="s">
        <v>1743</v>
      </c>
      <c r="K648" s="57" t="s">
        <v>1744</v>
      </c>
      <c r="L648" s="55" t="s">
        <v>36</v>
      </c>
      <c r="M648" s="58" t="s">
        <v>37</v>
      </c>
      <c r="N648" s="58" t="s">
        <v>38</v>
      </c>
      <c r="O648" s="58" t="s">
        <v>39</v>
      </c>
      <c r="P648" s="59"/>
      <c r="Q648" s="60"/>
      <c r="R648" s="60" t="s">
        <v>31</v>
      </c>
      <c r="S648" s="61">
        <v>45497.6027777778</v>
      </c>
      <c r="T648" s="62" t="s">
        <v>161</v>
      </c>
      <c r="U648" s="63">
        <v>45587.6027777778</v>
      </c>
      <c r="V648" s="64">
        <v>-63</v>
      </c>
    </row>
    <row r="649" spans="1:22" ht="11.25" x14ac:dyDescent="0.2">
      <c r="A649" s="55">
        <v>307120</v>
      </c>
      <c r="B649" s="55" t="s">
        <v>1750</v>
      </c>
      <c r="C649" s="56" t="s">
        <v>1751</v>
      </c>
      <c r="D649" s="56" t="s">
        <v>1751</v>
      </c>
      <c r="E649" s="57" t="s">
        <v>1752</v>
      </c>
      <c r="F649" s="56" t="s">
        <v>1753</v>
      </c>
      <c r="G649" s="57" t="s">
        <v>33</v>
      </c>
      <c r="H649" s="55" t="s">
        <v>179</v>
      </c>
      <c r="I649" s="57" t="s">
        <v>180</v>
      </c>
      <c r="J649" s="57" t="s">
        <v>1627</v>
      </c>
      <c r="K649" s="57" t="s">
        <v>1628</v>
      </c>
      <c r="L649" s="55" t="s">
        <v>36</v>
      </c>
      <c r="M649" s="58" t="s">
        <v>37</v>
      </c>
      <c r="N649" s="58" t="s">
        <v>29</v>
      </c>
      <c r="O649" s="58" t="s">
        <v>30</v>
      </c>
      <c r="P649" s="59"/>
      <c r="Q649" s="60"/>
      <c r="R649" s="60" t="s">
        <v>31</v>
      </c>
      <c r="S649" s="61">
        <v>45518.345138888901</v>
      </c>
      <c r="T649" s="62" t="s">
        <v>161</v>
      </c>
      <c r="U649" s="63">
        <v>45608.345138888901</v>
      </c>
      <c r="V649" s="64">
        <v>-84</v>
      </c>
    </row>
    <row r="650" spans="1:22" ht="11.25" x14ac:dyDescent="0.2">
      <c r="A650" s="55">
        <v>307121</v>
      </c>
      <c r="B650" s="55" t="s">
        <v>1754</v>
      </c>
      <c r="C650" s="56" t="s">
        <v>1755</v>
      </c>
      <c r="D650" s="56" t="s">
        <v>1755</v>
      </c>
      <c r="E650" s="57" t="s">
        <v>130</v>
      </c>
      <c r="F650" s="56" t="s">
        <v>131</v>
      </c>
      <c r="G650" s="57" t="s">
        <v>23</v>
      </c>
      <c r="H650" s="55" t="s">
        <v>49</v>
      </c>
      <c r="I650" s="57" t="s">
        <v>50</v>
      </c>
      <c r="J650" s="57" t="s">
        <v>128</v>
      </c>
      <c r="K650" s="57" t="s">
        <v>129</v>
      </c>
      <c r="L650" s="55" t="s">
        <v>36</v>
      </c>
      <c r="M650" s="58" t="s">
        <v>37</v>
      </c>
      <c r="N650" s="58" t="s">
        <v>83</v>
      </c>
      <c r="O650" s="58" t="s">
        <v>84</v>
      </c>
      <c r="P650" s="59">
        <v>45520.4506944444</v>
      </c>
      <c r="Q650" s="60"/>
      <c r="R650" s="60" t="s">
        <v>31</v>
      </c>
      <c r="S650" s="61">
        <v>45519.8034722222</v>
      </c>
      <c r="T650" s="62"/>
      <c r="U650" s="63">
        <v>45610.449305555601</v>
      </c>
      <c r="V650" s="64">
        <v>-86</v>
      </c>
    </row>
    <row r="651" spans="1:22" ht="11.25" x14ac:dyDescent="0.2">
      <c r="A651" s="55">
        <v>307122</v>
      </c>
      <c r="B651" s="55" t="s">
        <v>1756</v>
      </c>
      <c r="C651" s="56" t="s">
        <v>1757</v>
      </c>
      <c r="D651" s="56" t="s">
        <v>1758</v>
      </c>
      <c r="E651" s="57" t="s">
        <v>673</v>
      </c>
      <c r="F651" s="56" t="s">
        <v>674</v>
      </c>
      <c r="G651" s="57" t="s">
        <v>23</v>
      </c>
      <c r="H651" s="55" t="s">
        <v>34</v>
      </c>
      <c r="I651" s="57" t="s">
        <v>35</v>
      </c>
      <c r="J651" s="57" t="s">
        <v>1723</v>
      </c>
      <c r="K651" s="57" t="s">
        <v>1724</v>
      </c>
      <c r="L651" s="55" t="s">
        <v>36</v>
      </c>
      <c r="M651" s="58" t="s">
        <v>37</v>
      </c>
      <c r="N651" s="58" t="s">
        <v>83</v>
      </c>
      <c r="O651" s="58" t="s">
        <v>84</v>
      </c>
      <c r="P651" s="59">
        <v>45523.577083333301</v>
      </c>
      <c r="Q651" s="60"/>
      <c r="R651" s="60" t="s">
        <v>31</v>
      </c>
      <c r="S651" s="61">
        <v>45520.306944444397</v>
      </c>
      <c r="T651" s="62"/>
      <c r="U651" s="63">
        <v>45610.5756944444</v>
      </c>
      <c r="V651" s="64">
        <v>-86</v>
      </c>
    </row>
    <row r="652" spans="1:22" ht="11.25" x14ac:dyDescent="0.2">
      <c r="A652" s="55">
        <v>307123</v>
      </c>
      <c r="B652" s="55" t="s">
        <v>1759</v>
      </c>
      <c r="C652" s="56" t="s">
        <v>1760</v>
      </c>
      <c r="D652" s="56" t="s">
        <v>1761</v>
      </c>
      <c r="E652" s="57" t="s">
        <v>1549</v>
      </c>
      <c r="F652" s="56" t="s">
        <v>1550</v>
      </c>
      <c r="G652" s="57" t="s">
        <v>23</v>
      </c>
      <c r="H652" s="55" t="s">
        <v>34</v>
      </c>
      <c r="I652" s="57" t="s">
        <v>35</v>
      </c>
      <c r="J652" s="57" t="s">
        <v>66</v>
      </c>
      <c r="K652" s="57" t="s">
        <v>67</v>
      </c>
      <c r="L652" s="55" t="s">
        <v>36</v>
      </c>
      <c r="M652" s="58" t="s">
        <v>37</v>
      </c>
      <c r="N652" s="58" t="s">
        <v>90</v>
      </c>
      <c r="O652" s="58" t="s">
        <v>91</v>
      </c>
      <c r="P652" s="59">
        <v>45521.583333333299</v>
      </c>
      <c r="Q652" s="60"/>
      <c r="R652" s="60" t="s">
        <v>31</v>
      </c>
      <c r="S652" s="61">
        <v>45520.537499999999</v>
      </c>
      <c r="T652" s="62"/>
      <c r="U652" s="63">
        <v>45610.581250000003</v>
      </c>
      <c r="V652" s="64">
        <v>-86</v>
      </c>
    </row>
    <row r="653" spans="1:22" ht="11.25" x14ac:dyDescent="0.2">
      <c r="A653" s="55">
        <v>307124</v>
      </c>
      <c r="B653" s="55" t="s">
        <v>1762</v>
      </c>
      <c r="C653" s="56" t="s">
        <v>1763</v>
      </c>
      <c r="D653" s="56" t="s">
        <v>1764</v>
      </c>
      <c r="E653" s="57" t="s">
        <v>334</v>
      </c>
      <c r="F653" s="56" t="s">
        <v>335</v>
      </c>
      <c r="G653" s="57" t="s">
        <v>33</v>
      </c>
      <c r="H653" s="55" t="s">
        <v>34</v>
      </c>
      <c r="I653" s="57" t="s">
        <v>35</v>
      </c>
      <c r="J653" s="57" t="s">
        <v>594</v>
      </c>
      <c r="K653" s="57" t="s">
        <v>595</v>
      </c>
      <c r="L653" s="55" t="s">
        <v>36</v>
      </c>
      <c r="M653" s="58" t="s">
        <v>37</v>
      </c>
      <c r="N653" s="58" t="s">
        <v>38</v>
      </c>
      <c r="O653" s="58" t="s">
        <v>39</v>
      </c>
      <c r="P653" s="59">
        <v>45523.333333333299</v>
      </c>
      <c r="Q653" s="60"/>
      <c r="R653" s="60" t="s">
        <v>31</v>
      </c>
      <c r="S653" s="61">
        <v>45520.370833333298</v>
      </c>
      <c r="T653" s="62"/>
      <c r="U653" s="63">
        <v>45610.620833333298</v>
      </c>
      <c r="V653" s="64">
        <v>-86</v>
      </c>
    </row>
    <row r="654" spans="1:22" ht="11.25" x14ac:dyDescent="0.2">
      <c r="A654" s="55">
        <v>307125</v>
      </c>
      <c r="B654" s="55" t="s">
        <v>1765</v>
      </c>
      <c r="C654" s="56" t="s">
        <v>1766</v>
      </c>
      <c r="D654" s="56" t="s">
        <v>1767</v>
      </c>
      <c r="E654" s="57" t="s">
        <v>92</v>
      </c>
      <c r="F654" s="56" t="s">
        <v>93</v>
      </c>
      <c r="G654" s="57" t="s">
        <v>23</v>
      </c>
      <c r="H654" s="55" t="s">
        <v>34</v>
      </c>
      <c r="I654" s="57" t="s">
        <v>35</v>
      </c>
      <c r="J654" s="57" t="s">
        <v>507</v>
      </c>
      <c r="K654" s="57" t="s">
        <v>508</v>
      </c>
      <c r="L654" s="55" t="s">
        <v>36</v>
      </c>
      <c r="M654" s="58" t="s">
        <v>37</v>
      </c>
      <c r="N654" s="58" t="s">
        <v>83</v>
      </c>
      <c r="O654" s="58" t="s">
        <v>84</v>
      </c>
      <c r="P654" s="59">
        <v>45520.7006944444</v>
      </c>
      <c r="Q654" s="60"/>
      <c r="R654" s="60" t="s">
        <v>31</v>
      </c>
      <c r="S654" s="61">
        <v>45518.824305555601</v>
      </c>
      <c r="T654" s="62"/>
      <c r="U654" s="63">
        <v>45610.698611111096</v>
      </c>
      <c r="V654" s="64">
        <v>-86</v>
      </c>
    </row>
    <row r="655" spans="1:22" ht="11.25" x14ac:dyDescent="0.2">
      <c r="A655" s="55">
        <v>307126</v>
      </c>
      <c r="B655" s="55" t="s">
        <v>1768</v>
      </c>
      <c r="C655" s="56" t="s">
        <v>1769</v>
      </c>
      <c r="D655" s="56" t="s">
        <v>1770</v>
      </c>
      <c r="E655" s="57" t="s">
        <v>1202</v>
      </c>
      <c r="F655" s="56" t="s">
        <v>1203</v>
      </c>
      <c r="G655" s="57" t="s">
        <v>33</v>
      </c>
      <c r="H655" s="55" t="s">
        <v>34</v>
      </c>
      <c r="I655" s="57" t="s">
        <v>35</v>
      </c>
      <c r="J655" s="57" t="s">
        <v>66</v>
      </c>
      <c r="K655" s="57" t="s">
        <v>67</v>
      </c>
      <c r="L655" s="55" t="s">
        <v>36</v>
      </c>
      <c r="M655" s="58" t="s">
        <v>37</v>
      </c>
      <c r="N655" s="58" t="s">
        <v>90</v>
      </c>
      <c r="O655" s="58" t="s">
        <v>91</v>
      </c>
      <c r="P655" s="59">
        <v>45523.3659722222</v>
      </c>
      <c r="Q655" s="60"/>
      <c r="R655" s="60" t="s">
        <v>73</v>
      </c>
      <c r="S655" s="61">
        <v>45520.649305555598</v>
      </c>
      <c r="T655" s="62"/>
      <c r="U655" s="63">
        <v>45523.363888888904</v>
      </c>
      <c r="V655" s="64">
        <v>1</v>
      </c>
    </row>
    <row r="656" spans="1:22" ht="11.25" x14ac:dyDescent="0.2">
      <c r="A656" s="55">
        <v>307127</v>
      </c>
      <c r="B656" s="55" t="s">
        <v>1771</v>
      </c>
      <c r="C656" s="56" t="s">
        <v>1772</v>
      </c>
      <c r="D656" s="56" t="s">
        <v>1773</v>
      </c>
      <c r="E656" s="57" t="s">
        <v>110</v>
      </c>
      <c r="F656" s="56" t="s">
        <v>111</v>
      </c>
      <c r="G656" s="57" t="s">
        <v>33</v>
      </c>
      <c r="H656" s="55" t="s">
        <v>34</v>
      </c>
      <c r="I656" s="57" t="s">
        <v>35</v>
      </c>
      <c r="J656" s="57" t="s">
        <v>66</v>
      </c>
      <c r="K656" s="57" t="s">
        <v>67</v>
      </c>
      <c r="L656" s="55" t="s">
        <v>36</v>
      </c>
      <c r="M656" s="58" t="s">
        <v>37</v>
      </c>
      <c r="N656" s="58" t="s">
        <v>57</v>
      </c>
      <c r="O656" s="58" t="s">
        <v>58</v>
      </c>
      <c r="P656" s="59">
        <v>45524.333333333299</v>
      </c>
      <c r="Q656" s="60"/>
      <c r="R656" s="60" t="s">
        <v>31</v>
      </c>
      <c r="S656" s="61">
        <v>45523.593055555597</v>
      </c>
      <c r="T656" s="62"/>
      <c r="U656" s="63">
        <v>45613.684722222199</v>
      </c>
      <c r="V656" s="64">
        <v>-89</v>
      </c>
    </row>
    <row r="657" spans="1:22" ht="11.25" x14ac:dyDescent="0.2">
      <c r="A657" s="55">
        <v>307128</v>
      </c>
      <c r="B657" s="55" t="s">
        <v>1774</v>
      </c>
      <c r="C657" s="56" t="s">
        <v>1775</v>
      </c>
      <c r="D657" s="56" t="s">
        <v>1776</v>
      </c>
      <c r="E657" s="57" t="s">
        <v>445</v>
      </c>
      <c r="F657" s="56" t="s">
        <v>446</v>
      </c>
      <c r="G657" s="57" t="s">
        <v>23</v>
      </c>
      <c r="H657" s="55" t="s">
        <v>34</v>
      </c>
      <c r="I657" s="57" t="s">
        <v>35</v>
      </c>
      <c r="J657" s="57" t="s">
        <v>119</v>
      </c>
      <c r="K657" s="57" t="s">
        <v>120</v>
      </c>
      <c r="L657" s="55" t="s">
        <v>36</v>
      </c>
      <c r="M657" s="58" t="s">
        <v>37</v>
      </c>
      <c r="N657" s="58" t="s">
        <v>38</v>
      </c>
      <c r="O657" s="58" t="s">
        <v>39</v>
      </c>
      <c r="P657" s="59">
        <v>45525.338888888902</v>
      </c>
      <c r="Q657" s="60"/>
      <c r="R657" s="60" t="s">
        <v>31</v>
      </c>
      <c r="S657" s="61">
        <v>45523.854861111096</v>
      </c>
      <c r="T657" s="62"/>
      <c r="U657" s="63">
        <v>45614.338194444397</v>
      </c>
      <c r="V657" s="64">
        <v>-90</v>
      </c>
    </row>
    <row r="658" spans="1:22" ht="11.25" x14ac:dyDescent="0.2">
      <c r="A658" s="55">
        <v>307129</v>
      </c>
      <c r="B658" s="55" t="s">
        <v>1777</v>
      </c>
      <c r="C658" s="56" t="s">
        <v>1778</v>
      </c>
      <c r="D658" s="56" t="s">
        <v>1779</v>
      </c>
      <c r="E658" s="57" t="s">
        <v>445</v>
      </c>
      <c r="F658" s="56" t="s">
        <v>446</v>
      </c>
      <c r="G658" s="57" t="s">
        <v>23</v>
      </c>
      <c r="H658" s="55" t="s">
        <v>34</v>
      </c>
      <c r="I658" s="57" t="s">
        <v>35</v>
      </c>
      <c r="J658" s="57" t="s">
        <v>119</v>
      </c>
      <c r="K658" s="57" t="s">
        <v>120</v>
      </c>
      <c r="L658" s="55" t="s">
        <v>36</v>
      </c>
      <c r="M658" s="58" t="s">
        <v>37</v>
      </c>
      <c r="N658" s="58" t="s">
        <v>29</v>
      </c>
      <c r="O658" s="58" t="s">
        <v>30</v>
      </c>
      <c r="P658" s="59">
        <v>45528.356249999997</v>
      </c>
      <c r="Q658" s="60"/>
      <c r="R658" s="60" t="s">
        <v>31</v>
      </c>
      <c r="S658" s="61">
        <v>45523.793749999997</v>
      </c>
      <c r="T658" s="62"/>
      <c r="U658" s="63">
        <v>45614.354861111096</v>
      </c>
      <c r="V658" s="64">
        <v>-90</v>
      </c>
    </row>
    <row r="659" spans="1:22" ht="11.25" x14ac:dyDescent="0.2">
      <c r="A659" s="55">
        <v>307130</v>
      </c>
      <c r="B659" s="55" t="s">
        <v>1780</v>
      </c>
      <c r="C659" s="56" t="s">
        <v>1781</v>
      </c>
      <c r="D659" s="56" t="s">
        <v>1782</v>
      </c>
      <c r="E659" s="57" t="s">
        <v>105</v>
      </c>
      <c r="F659" s="56" t="s">
        <v>106</v>
      </c>
      <c r="G659" s="57" t="s">
        <v>23</v>
      </c>
      <c r="H659" s="55" t="s">
        <v>34</v>
      </c>
      <c r="I659" s="57" t="s">
        <v>35</v>
      </c>
      <c r="J659" s="57" t="s">
        <v>119</v>
      </c>
      <c r="K659" s="57" t="s">
        <v>120</v>
      </c>
      <c r="L659" s="55" t="s">
        <v>36</v>
      </c>
      <c r="M659" s="58" t="s">
        <v>37</v>
      </c>
      <c r="N659" s="58" t="s">
        <v>57</v>
      </c>
      <c r="O659" s="58" t="s">
        <v>58</v>
      </c>
      <c r="P659" s="59"/>
      <c r="Q659" s="60"/>
      <c r="R659" s="60" t="s">
        <v>31</v>
      </c>
      <c r="S659" s="61">
        <v>45523.377083333296</v>
      </c>
      <c r="T659" s="62"/>
      <c r="U659" s="63">
        <v>45614.400694444397</v>
      </c>
      <c r="V659" s="64">
        <v>-90</v>
      </c>
    </row>
    <row r="660" spans="1:22" ht="11.25" x14ac:dyDescent="0.2">
      <c r="A660" s="55">
        <v>307131</v>
      </c>
      <c r="B660" s="55" t="s">
        <v>1783</v>
      </c>
      <c r="C660" s="56" t="s">
        <v>1784</v>
      </c>
      <c r="D660" s="56" t="s">
        <v>1785</v>
      </c>
      <c r="E660" s="57" t="s">
        <v>525</v>
      </c>
      <c r="F660" s="56" t="s">
        <v>526</v>
      </c>
      <c r="G660" s="57" t="s">
        <v>23</v>
      </c>
      <c r="H660" s="55" t="s">
        <v>34</v>
      </c>
      <c r="I660" s="57" t="s">
        <v>35</v>
      </c>
      <c r="J660" s="57" t="s">
        <v>25</v>
      </c>
      <c r="K660" s="57" t="s">
        <v>26</v>
      </c>
      <c r="L660" s="55" t="s">
        <v>36</v>
      </c>
      <c r="M660" s="58" t="s">
        <v>37</v>
      </c>
      <c r="N660" s="58" t="s">
        <v>83</v>
      </c>
      <c r="O660" s="58" t="s">
        <v>84</v>
      </c>
      <c r="P660" s="59"/>
      <c r="Q660" s="60"/>
      <c r="R660" s="60" t="s">
        <v>31</v>
      </c>
      <c r="S660" s="61">
        <v>45523.438194444403</v>
      </c>
      <c r="T660" s="62"/>
      <c r="U660" s="63">
        <v>45614.555555555598</v>
      </c>
      <c r="V660" s="64">
        <v>-90</v>
      </c>
    </row>
    <row r="661" spans="1:22" x14ac:dyDescent="0.2">
      <c r="C661" s="26" t="s">
        <v>269</v>
      </c>
    </row>
  </sheetData>
  <sheetProtection selectLockedCells="1"/>
  <phoneticPr fontId="18" type="noConversion"/>
  <pageMargins left="0.23622047244094491" right="0.23622047244094491" top="0.74803149606299213" bottom="0.74803149606299213" header="0.31496062992125984" footer="0.31496062992125984"/>
  <pageSetup paperSize="9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agem">
    <tabColor rgb="FFFF0000"/>
    <pageSetUpPr fitToPage="1"/>
  </sheetPr>
  <dimension ref="A1:R7"/>
  <sheetViews>
    <sheetView showGridLines="0" topLeftCell="B1" zoomScaleNormal="100" zoomScaleSheetLayoutView="85" workbookViewId="0">
      <pane ySplit="6" topLeftCell="A7" activePane="bottomLeft" state="frozen"/>
      <selection pane="bottomLeft" activeCell="D7" sqref="D7:D8"/>
    </sheetView>
  </sheetViews>
  <sheetFormatPr defaultColWidth="9.140625" defaultRowHeight="12" x14ac:dyDescent="0.2"/>
  <cols>
    <col min="1" max="1" width="1.7109375" style="13" customWidth="1"/>
    <col min="2" max="2" width="6.42578125" style="3" customWidth="1"/>
    <col min="3" max="3" width="14.42578125" style="6" customWidth="1"/>
    <col min="4" max="4" width="12.28515625" style="6" customWidth="1"/>
    <col min="5" max="5" width="17.140625" style="16" bestFit="1" customWidth="1"/>
    <col min="6" max="6" width="66.85546875" style="11" customWidth="1"/>
    <col min="7" max="7" width="22.140625" style="11" customWidth="1"/>
    <col min="8" max="8" width="29.7109375" style="1" customWidth="1"/>
    <col min="9" max="9" width="23.140625" style="1" bestFit="1" customWidth="1"/>
    <col min="10" max="10" width="11.42578125" style="1" customWidth="1"/>
    <col min="11" max="16" width="9.140625" style="4"/>
    <col min="17" max="19" width="0" style="4" hidden="1" customWidth="1"/>
    <col min="20" max="16384" width="9.140625" style="4"/>
  </cols>
  <sheetData>
    <row r="1" spans="1:18" ht="4.5" customHeight="1" x14ac:dyDescent="0.2">
      <c r="A1" s="34"/>
      <c r="C1" s="3"/>
      <c r="D1" s="5"/>
      <c r="E1" s="5"/>
      <c r="F1" s="10"/>
      <c r="G1" s="10"/>
    </row>
    <row r="2" spans="1:18" ht="17.100000000000001" customHeight="1" x14ac:dyDescent="0.2">
      <c r="B2" s="77"/>
      <c r="C2" s="78"/>
      <c r="D2" s="78"/>
      <c r="E2" s="83" t="s">
        <v>212</v>
      </c>
      <c r="F2" s="84"/>
      <c r="G2" s="75" t="s">
        <v>213</v>
      </c>
      <c r="H2" s="76"/>
      <c r="I2" s="38">
        <v>44142</v>
      </c>
      <c r="M2" s="74"/>
      <c r="Q2" s="1">
        <f>B2+7</f>
        <v>7</v>
      </c>
      <c r="R2" s="4" t="str">
        <f>_xlfn.CONCAT("LISTA!$D$8:$D$",Q2)</f>
        <v>LISTA!$D$8:$D$7</v>
      </c>
    </row>
    <row r="3" spans="1:18" s="8" customFormat="1" ht="4.5" customHeight="1" x14ac:dyDescent="0.2">
      <c r="A3" s="14"/>
      <c r="B3" s="79"/>
      <c r="C3" s="80"/>
      <c r="D3" s="80"/>
      <c r="E3" s="85"/>
      <c r="F3" s="86"/>
      <c r="G3" s="12"/>
      <c r="H3" s="9"/>
      <c r="I3" s="33"/>
      <c r="J3" s="7"/>
      <c r="M3" s="74"/>
    </row>
    <row r="4" spans="1:18" ht="16.5" customHeight="1" x14ac:dyDescent="0.2">
      <c r="B4" s="81"/>
      <c r="C4" s="82"/>
      <c r="D4" s="82"/>
      <c r="E4" s="87"/>
      <c r="F4" s="88"/>
      <c r="G4" s="75" t="s">
        <v>214</v>
      </c>
      <c r="H4" s="76"/>
      <c r="I4" s="39" t="s">
        <v>30</v>
      </c>
      <c r="M4" s="74"/>
    </row>
    <row r="5" spans="1:18" ht="4.5" customHeight="1" x14ac:dyDescent="0.2">
      <c r="C5" s="3"/>
      <c r="D5" s="5"/>
      <c r="E5" s="5"/>
      <c r="F5" s="10"/>
      <c r="G5" s="10"/>
    </row>
    <row r="6" spans="1:18" s="2" customFormat="1" ht="32.25" customHeight="1" x14ac:dyDescent="0.25">
      <c r="A6" s="15"/>
      <c r="B6" s="45" t="s">
        <v>215</v>
      </c>
      <c r="C6" s="43" t="s">
        <v>1</v>
      </c>
      <c r="D6" s="43" t="s">
        <v>0</v>
      </c>
      <c r="E6" s="44" t="s">
        <v>15</v>
      </c>
      <c r="F6" s="40" t="s">
        <v>2</v>
      </c>
      <c r="G6" s="41" t="s">
        <v>14</v>
      </c>
      <c r="H6" s="40" t="s">
        <v>5</v>
      </c>
      <c r="I6" s="42" t="s">
        <v>8</v>
      </c>
      <c r="J6" s="32">
        <f>IF(ListOfic="TODAS AS ORDENS",
COUNTIFS(Sisteplant[Data Prevista],"&gt;="&amp;ListDataPrev,Sisteplant[Data Prevista],"&lt;"&amp; ListDataPrev+1),
COUNTIFS(Sisteplant[Data Prevista],"&gt;="&amp;ListDataPrev,Sisteplant[Data Prevista],"&lt;"&amp; ListDataPrev+1,Sisteplant[Denominação Oficina],ListOfic))</f>
        <v>0</v>
      </c>
      <c r="K6" s="73" t="s">
        <v>216</v>
      </c>
      <c r="L6" s="73"/>
    </row>
    <row r="7" spans="1:18" ht="15" customHeight="1" x14ac:dyDescent="0.2">
      <c r="E7" s="46"/>
      <c r="J7" s="4"/>
    </row>
  </sheetData>
  <sheetProtection selectLockedCells="1"/>
  <mergeCells count="6">
    <mergeCell ref="K6:L6"/>
    <mergeCell ref="M2:M4"/>
    <mergeCell ref="G4:H4"/>
    <mergeCell ref="G2:H2"/>
    <mergeCell ref="B2:D4"/>
    <mergeCell ref="E2:F4"/>
  </mergeCells>
  <conditionalFormatting sqref="G2:H2">
    <cfRule type="expression" dxfId="11" priority="1">
      <formula>#REF!=2</formula>
    </cfRule>
  </conditionalFormatting>
  <dataValidations disablePrompts="1" count="1">
    <dataValidation type="list" allowBlank="1" showInputMessage="1" showErrorMessage="1" sqref="I4" xr:uid="{00000000-0002-0000-0300-000000000000}">
      <formula1>"TODAS AS ORDENS,ELÉTRICA,REFRIGERAÇÃO,CIVIL,MARCENARIA,PINTURA,HIDRÁULICA,SERRALHERIA,SERVIÇOS GERAIS"</formula1>
    </dataValidation>
  </dataValidations>
  <pageMargins left="0.39370078740157483" right="0.39370078740157483" top="0.47244094488188981" bottom="0.47244094488188981" header="0.31496062992125984" footer="0.31496062992125984"/>
  <pageSetup paperSize="9" scale="53" fitToHeight="0" orientation="landscape" r:id="rId1"/>
  <headerFooter>
    <oddFooter>Page &amp;P of &amp;N</oddFooter>
  </headerFooter>
  <drawing r:id="rId2"/>
  <tableParts count="1">
    <tablePart r:id="rId3"/>
  </tableParts>
</worksheet>
</file>

<file path=customUI/_rels/customUI.xml.rels><?xml version="1.0" encoding="UTF-8" standalone="yes"?>
<Relationships xmlns="http://schemas.openxmlformats.org/package/2006/relationships"><Relationship Id="LogoPrisma" Type="http://schemas.openxmlformats.org/officeDocument/2006/relationships/image" Target="images/LogoPrisma.png"/><Relationship Id="LogoMax_New" Type="http://schemas.openxmlformats.org/officeDocument/2006/relationships/image" Target="images/LogoMax_New.png"/></Relationships>
</file>

<file path=customUI/customUI.xml><?xml version="1.0" encoding="utf-8"?>
<customUI xmlns="http://schemas.microsoft.com/office/2006/01/customui" onLoad="RibbonOnLoad">
  <ribbon>
    <tabs>
      <tab id="customTab" label="Macros Manserv" insertAfterMso="TabHome">
        <group id="grupoMacros" tag="GrupoMacros" insertAfterMso="GroupEditingExcel">
          <button id="botaoCarrega" label="Importar do Prisma" size="large" onAction="ColarInfo" imageMso="PrintPreviewShrinkOnePage"/>
          <button id="botaoFiltra" label="Carregar Filtrados" size="large" onAction="ImprimeFiltrados" imageMso="MailMergeMergeToPrinter" tag="BotaoFiltra" getEnabled="GetEnabledMacro"/>
        </group>
        <group id="grupoFiltrar" label="Filtrar Ordens" tag="GrupoFiltrar" insertAfterMso="GroupEditingExcel">
          <button id="botaoFiltPrism" label="Filtrar Ordens PRISMA Selecionadas em Outra Planilha" size="large" onAction="FiltraInfoPrism" image="LogoPrisma"/>
          <button id="botaoFiltMax" label="Filtrar Ordens MAXIMO Selecionadas em Outra Planilha" size="large" onAction="FiltraInfoMax" image="LogoMax_Ne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840DA3FA2AE4428B5AF5115CD6CC11" ma:contentTypeVersion="14" ma:contentTypeDescription="Crie um novo documento." ma:contentTypeScope="" ma:versionID="d8348e8b58efefe9ea62c902ec179c1b">
  <xsd:schema xmlns:xsd="http://www.w3.org/2001/XMLSchema" xmlns:xs="http://www.w3.org/2001/XMLSchema" xmlns:p="http://schemas.microsoft.com/office/2006/metadata/properties" xmlns:ns2="21adca6d-5d7c-4e34-bfbb-5cc7db7ccffb" xmlns:ns3="2e81c3d9-5b6a-4265-9e87-d1374cf29b61" targetNamespace="http://schemas.microsoft.com/office/2006/metadata/properties" ma:root="true" ma:fieldsID="7caf9637e98840dd2db122396d3fdfb8" ns2:_="" ns3:_="">
    <xsd:import namespace="21adca6d-5d7c-4e34-bfbb-5cc7db7ccffb"/>
    <xsd:import namespace="2e81c3d9-5b6a-4265-9e87-d1374cf29b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adca6d-5d7c-4e34-bfbb-5cc7db7ccf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Marcações de imagem" ma:readOnly="false" ma:fieldId="{5cf76f15-5ced-4ddc-b409-7134ff3c332f}" ma:taxonomyMulti="true" ma:sspId="fe82b97c-6a8a-4995-9eb5-298aced380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e81c3d9-5b6a-4265-9e87-d1374cf29b61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90f50486-466f-40cf-8afd-5a8725e8cc71}" ma:internalName="TaxCatchAll" ma:showField="CatchAllData" ma:web="2e81c3d9-5b6a-4265-9e87-d1374cf29b6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1adca6d-5d7c-4e34-bfbb-5cc7db7ccffb">
      <Terms xmlns="http://schemas.microsoft.com/office/infopath/2007/PartnerControls"/>
    </lcf76f155ced4ddcb4097134ff3c332f>
    <TaxCatchAll xmlns="2e81c3d9-5b6a-4265-9e87-d1374cf29b61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A3DC657-A9C9-488E-8C67-EF4585211B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1adca6d-5d7c-4e34-bfbb-5cc7db7ccffb"/>
    <ds:schemaRef ds:uri="2e81c3d9-5b6a-4265-9e87-d1374cf29b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D2B06D4-8215-4DC0-8955-67BAD073455B}">
  <ds:schemaRefs>
    <ds:schemaRef ds:uri="http://schemas.microsoft.com/office/2006/metadata/properties"/>
    <ds:schemaRef ds:uri="http://purl.org/dc/terms/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2e81c3d9-5b6a-4265-9e87-d1374cf29b61"/>
    <ds:schemaRef ds:uri="http://purl.org/dc/dcmitype/"/>
    <ds:schemaRef ds:uri="http://schemas.microsoft.com/office/infopath/2007/PartnerControls"/>
    <ds:schemaRef ds:uri="21adca6d-5d7c-4e34-bfbb-5cc7db7ccffb"/>
  </ds:schemaRefs>
</ds:datastoreItem>
</file>

<file path=customXml/itemProps3.xml><?xml version="1.0" encoding="utf-8"?>
<ds:datastoreItem xmlns:ds="http://schemas.openxmlformats.org/officeDocument/2006/customXml" ds:itemID="{90BBFD73-885A-4F54-99DD-644EA6BF170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5</vt:i4>
      </vt:variant>
    </vt:vector>
  </HeadingPairs>
  <TitlesOfParts>
    <vt:vector size="7" baseType="lpstr">
      <vt:lpstr>Prisma</vt:lpstr>
      <vt:lpstr>LISTAGEM</vt:lpstr>
      <vt:lpstr>Prisma!Area_de_impressao</vt:lpstr>
      <vt:lpstr>ListDataPrev</vt:lpstr>
      <vt:lpstr>ListOfic</vt:lpstr>
      <vt:lpstr>ListTotalOS</vt:lpstr>
      <vt:lpstr>LISTAGEM!Titulos_de_impressao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Lenovo User</dc:creator>
  <cp:keywords/>
  <dc:description/>
  <cp:lastModifiedBy>DOS SANTOS SILVA, REGIS [Non-Kenvue]</cp:lastModifiedBy>
  <cp:revision/>
  <cp:lastPrinted>2024-06-05T18:33:50Z</cp:lastPrinted>
  <dcterms:created xsi:type="dcterms:W3CDTF">2017-05-10T18:58:17Z</dcterms:created>
  <dcterms:modified xsi:type="dcterms:W3CDTF">2024-09-03T18:49:46Z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0x010100A2840DA3FA2AE4428B5AF5115CD6CC11</vt:lpwstr>
  </property>
  <property fmtid="{D5CDD505-2E9C-101B-9397-08002B2CF9AE}" pid="3" name="MediaServiceImageTags">
    <vt:lpwstr/>
  </property>
</Properties>
</file>